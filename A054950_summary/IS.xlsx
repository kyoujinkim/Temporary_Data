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HWM\PycharmProjects\AI_Reporter\data\A054950_summary\"/>
    </mc:Choice>
  </mc:AlternateContent>
  <xr:revisionPtr revIDLastSave="0" documentId="8_{7257BD25-F4AB-49DF-9171-0DD28F2EA8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any" sheetId="3" r:id="rId1"/>
    <sheet name="consensus" sheetId="1" r:id="rId2"/>
    <sheet name="future" sheetId="6" r:id="rId3"/>
    <sheet name="sales" sheetId="2" r:id="rId4"/>
    <sheet name="op" sheetId="4" r:id="rId5"/>
    <sheet name="income" sheetId="5" r:id="rId6"/>
    <sheet name="earnings_cum" sheetId="13" r:id="rId7"/>
    <sheet name="sales_cum" sheetId="10" r:id="rId8"/>
    <sheet name="op_cum" sheetId="11" r:id="rId9"/>
    <sheet name="income_cum" sheetId="12" r:id="rId10"/>
    <sheet name="costsales" sheetId="7" r:id="rId11"/>
    <sheet name="costincome" sheetId="8" r:id="rId12"/>
    <sheet name="netdebt" sheetId="9" r:id="rId13"/>
  </sheets>
  <definedNames>
    <definedName name="code">company!$A$1</definedName>
    <definedName name="fq_0">company!$C$2</definedName>
    <definedName name="fq_1">company!$C$3</definedName>
    <definedName name="fq_m1">company!$C$1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2" l="1"/>
  <c r="B12" i="12" s="1"/>
  <c r="B11" i="12" s="1"/>
  <c r="G11" i="12" s="1"/>
  <c r="F9" i="12"/>
  <c r="B13" i="11"/>
  <c r="B12" i="11" s="1"/>
  <c r="B11" i="11" s="1"/>
  <c r="G11" i="11" s="1"/>
  <c r="F9" i="11"/>
  <c r="B13" i="10"/>
  <c r="G13" i="10" s="1"/>
  <c r="H13" i="10" s="1"/>
  <c r="F9" i="10"/>
  <c r="B23" i="9"/>
  <c r="B22" i="9" s="1"/>
  <c r="B21" i="9" s="1"/>
  <c r="B20" i="9" s="1"/>
  <c r="B19" i="9" s="1"/>
  <c r="B18" i="9" s="1"/>
  <c r="B17" i="9" s="1"/>
  <c r="B16" i="9" s="1"/>
  <c r="F9" i="9"/>
  <c r="B23" i="8"/>
  <c r="B15" i="8" s="1"/>
  <c r="B14" i="8" s="1"/>
  <c r="B13" i="8" s="1"/>
  <c r="B12" i="8" s="1"/>
  <c r="B11" i="8" s="1"/>
  <c r="F9" i="8"/>
  <c r="B23" i="7"/>
  <c r="B15" i="7" s="1"/>
  <c r="B14" i="7" s="1"/>
  <c r="B13" i="7" s="1"/>
  <c r="B12" i="7" s="1"/>
  <c r="B11" i="7" s="1"/>
  <c r="F9" i="7"/>
  <c r="B23" i="5"/>
  <c r="B15" i="5" s="1"/>
  <c r="B14" i="5" s="1"/>
  <c r="B13" i="5" s="1"/>
  <c r="B12" i="5" s="1"/>
  <c r="B11" i="5" s="1"/>
  <c r="B23" i="4"/>
  <c r="B22" i="4" s="1"/>
  <c r="B21" i="4" s="1"/>
  <c r="B20" i="4" s="1"/>
  <c r="B19" i="4" s="1"/>
  <c r="B18" i="4" s="1"/>
  <c r="B17" i="4" s="1"/>
  <c r="B16" i="4" s="1"/>
  <c r="B23" i="2"/>
  <c r="B15" i="2" s="1"/>
  <c r="B14" i="2" s="1"/>
  <c r="B13" i="2" s="1"/>
  <c r="B12" i="2" s="1"/>
  <c r="B11" i="2" s="1"/>
  <c r="F9" i="5"/>
  <c r="F9" i="4"/>
  <c r="F9" i="2"/>
  <c r="F9" i="6"/>
  <c r="B13" i="6"/>
  <c r="B12" i="6"/>
  <c r="B11" i="6"/>
  <c r="D12" i="1"/>
  <c r="C12" i="1"/>
  <c r="B12" i="1"/>
  <c r="D8" i="1"/>
  <c r="C8" i="1"/>
  <c r="B8" i="1"/>
  <c r="H11" i="11" l="1"/>
  <c r="H11" i="12"/>
  <c r="G12" i="11"/>
  <c r="H12" i="11" s="1"/>
  <c r="G13" i="11"/>
  <c r="H13" i="11" s="1"/>
  <c r="G12" i="12"/>
  <c r="H12" i="12" s="1"/>
  <c r="G13" i="12"/>
  <c r="H13" i="12" s="1"/>
  <c r="B12" i="10"/>
  <c r="B22" i="2"/>
  <c r="B21" i="2" s="1"/>
  <c r="B20" i="2" s="1"/>
  <c r="B19" i="2" s="1"/>
  <c r="B18" i="2" s="1"/>
  <c r="B17" i="2" s="1"/>
  <c r="B16" i="2" s="1"/>
  <c r="B15" i="9"/>
  <c r="B14" i="9" s="1"/>
  <c r="B13" i="9" s="1"/>
  <c r="B12" i="9" s="1"/>
  <c r="B11" i="9" s="1"/>
  <c r="B22" i="8"/>
  <c r="B21" i="8" s="1"/>
  <c r="B20" i="8" s="1"/>
  <c r="B19" i="8" s="1"/>
  <c r="B18" i="8" s="1"/>
  <c r="B17" i="8" s="1"/>
  <c r="B16" i="8" s="1"/>
  <c r="B22" i="7"/>
  <c r="B21" i="7" s="1"/>
  <c r="B20" i="7" s="1"/>
  <c r="B19" i="7" s="1"/>
  <c r="B18" i="7" s="1"/>
  <c r="B17" i="7" s="1"/>
  <c r="B16" i="7" s="1"/>
  <c r="B22" i="5"/>
  <c r="B21" i="5" s="1"/>
  <c r="B20" i="5" s="1"/>
  <c r="B19" i="5" s="1"/>
  <c r="B18" i="5" s="1"/>
  <c r="B17" i="5" s="1"/>
  <c r="B16" i="5" s="1"/>
  <c r="B15" i="4"/>
  <c r="B14" i="4" s="1"/>
  <c r="B13" i="4" s="1"/>
  <c r="B12" i="4" s="1"/>
  <c r="B11" i="4" s="1"/>
  <c r="H14" i="11" l="1"/>
  <c r="A2" i="13" s="1"/>
  <c r="H14" i="12"/>
  <c r="A3" i="13" s="1"/>
  <c r="B11" i="10"/>
  <c r="G11" i="10" s="1"/>
  <c r="G12" i="10"/>
  <c r="H12" i="10" s="1"/>
  <c r="F14" i="12"/>
  <c r="B3" i="13" s="1"/>
  <c r="F14" i="11"/>
  <c r="B2" i="13" s="1"/>
  <c r="F14" i="10" l="1"/>
  <c r="B1" i="13" s="1"/>
  <c r="H11" i="10"/>
  <c r="H14" i="10" s="1"/>
  <c r="A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29FC19D1-20BA-4DA3-A2EB-EF7CA16A8446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DD8C19F0-2AE1-4463-83A8-9783D05CE4E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3EC01176-CD96-4DCA-9375-5D10ED81BB1D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F44CF832-CE33-4B98-943D-25BE2BA18A7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25E0EA4F-5179-437D-889B-B5BD80D31CF3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B05C17BC-EF96-4E7F-BB5C-2F96BCD2153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6D3B6E9D-228F-4845-BB99-E0C50DA53A0E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63D3A183-28A0-4A05-A8BD-0277C702D982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21452160-2E03-43AA-8F4C-C986F5A1BABE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0A113A57-E07A-4E5F-99E8-506561D6DF7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F5BCDE97-B246-40C3-BD8B-0A5D046BAA1E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D29647F6-B245-4F81-A663-90B6D487A82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C40867F5-1284-4127-833F-F641422646E4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68C3C1BE-569C-4808-B62F-48AB0827DDA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58ED1E49-5B52-4315-A6EB-355A2721D756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B885DF40-2655-403A-99BC-6A9B94104C4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EC5EE3DA-E856-4608-8C50-E0A7758EDF1A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00E01C25-BA10-41AE-AEFD-B04E14DAA72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8F806549-6ABB-4D1F-85F6-FC290D0D0CE8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E8B72052-07C0-4FE4-BF95-4BCBB4CA3CE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352B070A-680F-4CC9-9533-FD0336AE722B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1E9EA3BC-16AC-4990-890B-B66C65A2FB3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E5CE9290-04F8-432F-BC1B-A3A88F1E8009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84AA3E0A-D838-4984-8DB9-C9A97CCAE7E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098E57FC-ADBF-428B-9F46-FDCFE911F35A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A1B08BD4-05A7-46F2-8A04-2998D51E3E8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B4" authorId="0" shapeId="0" xr:uid="{31934FEC-D4B8-4EF5-B7C4-C1C38026CF6C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49A751AF-9C3B-4B9D-AD24-C16C16DCDEC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sharedStrings.xml><?xml version="1.0" encoding="utf-8"?>
<sst xmlns="http://schemas.openxmlformats.org/spreadsheetml/2006/main" count="436" uniqueCount="65">
  <si>
    <t xml:space="preserve">     Refresh     </t>
  </si>
  <si>
    <t>Company Consensus</t>
  </si>
  <si>
    <t>W</t>
  </si>
  <si>
    <t>Ascending</t>
  </si>
  <si>
    <t>Korean</t>
  </si>
  <si>
    <t>E121000.M</t>
  </si>
  <si>
    <t>E121500.M</t>
  </si>
  <si>
    <t>Frequency</t>
  </si>
  <si>
    <t>Period(From)</t>
  </si>
  <si>
    <t>Period(To)</t>
  </si>
  <si>
    <t>D A T E</t>
    <phoneticPr fontId="4" type="noConversion"/>
  </si>
  <si>
    <t>Code</t>
    <phoneticPr fontId="4" type="noConversion"/>
  </si>
  <si>
    <t>Name</t>
    <phoneticPr fontId="4" type="noConversion"/>
  </si>
  <si>
    <t>Item Code</t>
    <phoneticPr fontId="4" type="noConversion"/>
  </si>
  <si>
    <t>Unit</t>
    <phoneticPr fontId="4" type="noConversion"/>
  </si>
  <si>
    <t>Base Date</t>
    <phoneticPr fontId="4" type="noConversion"/>
  </si>
  <si>
    <t>매출액</t>
    <phoneticPr fontId="4" type="noConversion"/>
  </si>
  <si>
    <t>영업이익</t>
    <phoneticPr fontId="4" type="noConversion"/>
  </si>
  <si>
    <t>Local mn</t>
    <phoneticPr fontId="4" type="noConversion"/>
  </si>
  <si>
    <t>All Listed</t>
  </si>
  <si>
    <t>M121000.M</t>
  </si>
  <si>
    <t>M121500.M</t>
  </si>
  <si>
    <t>M122710.M</t>
  </si>
  <si>
    <t>Account Type</t>
  </si>
  <si>
    <t>Peer Analysis (To Select)</t>
    <phoneticPr fontId="4" type="noConversion"/>
  </si>
  <si>
    <t>Account</t>
    <phoneticPr fontId="4" type="noConversion"/>
  </si>
  <si>
    <t>Period</t>
    <phoneticPr fontId="4" type="noConversion"/>
  </si>
  <si>
    <t>당기순이익(지배)</t>
    <phoneticPr fontId="4" type="noConversion"/>
  </si>
  <si>
    <t>E122710.M</t>
  </si>
  <si>
    <t>CPD-1TD</t>
  </si>
  <si>
    <t>Local mn</t>
  </si>
  <si>
    <t>E122710.M</t>
    <phoneticPr fontId="4" type="noConversion"/>
  </si>
  <si>
    <t>M211400.M</t>
    <phoneticPr fontId="4" type="noConversion"/>
  </si>
  <si>
    <t>매출원가율</t>
    <phoneticPr fontId="4" type="noConversion"/>
  </si>
  <si>
    <t>%</t>
    <phoneticPr fontId="4" type="noConversion"/>
  </si>
  <si>
    <t>M211800.M</t>
    <phoneticPr fontId="4" type="noConversion"/>
  </si>
  <si>
    <t>판관비율</t>
    <phoneticPr fontId="4" type="noConversion"/>
  </si>
  <si>
    <t>M222100.M</t>
  </si>
  <si>
    <t>순부채비율</t>
    <phoneticPr fontId="4" type="noConversion"/>
  </si>
  <si>
    <t>CPD-6M [20260130]</t>
    <phoneticPr fontId="4" type="noConversion"/>
  </si>
  <si>
    <t>CPD [20260731]</t>
    <phoneticPr fontId="4" type="noConversion"/>
  </si>
  <si>
    <t>N/A(-43.35)</t>
  </si>
  <si>
    <t>A054950</t>
    <phoneticPr fontId="4" type="noConversion"/>
  </si>
  <si>
    <t>Last Update : 2026-07-31 16:35:03</t>
    <phoneticPr fontId="4" type="noConversion"/>
  </si>
  <si>
    <t>제이브이엠</t>
    <phoneticPr fontId="4" type="noConversion"/>
  </si>
  <si>
    <t>Last Update : 2026-07-31 16:35:05</t>
    <phoneticPr fontId="4" type="noConversion"/>
  </si>
  <si>
    <t>Last Update : 2026-07-31 16:35:08</t>
    <phoneticPr fontId="4" type="noConversion"/>
  </si>
  <si>
    <t>Last Update : 2026-07-31 16:35:11</t>
    <phoneticPr fontId="4" type="noConversion"/>
  </si>
  <si>
    <t>Last Update : 2026-07-31 16:35:13</t>
    <phoneticPr fontId="4" type="noConversion"/>
  </si>
  <si>
    <t>Last Update : 2026-07-31 16:35:16</t>
    <phoneticPr fontId="4" type="noConversion"/>
  </si>
  <si>
    <t>Last Update : 2026-07-31 16:35:18</t>
    <phoneticPr fontId="4" type="noConversion"/>
  </si>
  <si>
    <t>Last Update : 2026-07-31 16:35:19</t>
    <phoneticPr fontId="4" type="noConversion"/>
  </si>
  <si>
    <t>Last Update : 2026-07-31 16:35:21</t>
    <phoneticPr fontId="4" type="noConversion"/>
  </si>
  <si>
    <t>Last Update : 2026-07-31 16:35:23</t>
    <phoneticPr fontId="4" type="noConversion"/>
  </si>
  <si>
    <t>Last Update : 2026-07-31 16:35:26</t>
    <phoneticPr fontId="4" type="noConversion"/>
  </si>
  <si>
    <t>N/A(-20.77)</t>
  </si>
  <si>
    <t>N/A(-23.00)</t>
  </si>
  <si>
    <t>N/A(-32.05)</t>
  </si>
  <si>
    <t>N/A(-36.96)</t>
  </si>
  <si>
    <t>N/A(-36.59)</t>
  </si>
  <si>
    <t>N/A(-39.25)</t>
  </si>
  <si>
    <t>N/A(-37.07)</t>
  </si>
  <si>
    <t>N/A(-41.73)</t>
  </si>
  <si>
    <t>N/A(-44.79)</t>
  </si>
  <si>
    <t>N/A(-45.83)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</si>
</sst>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9"/>
      <color rgb="FFFFFFFF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404040"/>
      <name val="맑은 고딕"/>
      <family val="2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scheme val="minor"/>
    </font>
    <font>
      <b/>
      <sz val="11"/>
      <color rgb="FF40404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7" fillId="0" borderId="3" xfId="0" applyFont="1" applyBorder="1" applyAlignment="1">
      <alignment horizontal="right"/>
    </xf>
    <xf numFmtId="14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7" fillId="0" borderId="1" xfId="0" applyFont="1" applyBorder="1" applyAlignment="1">
      <alignment horizontal="right"/>
    </xf>
    <xf numFmtId="49" fontId="0" fillId="0" borderId="5" xfId="0" applyNumberFormat="1" applyBorder="1"/>
    <xf numFmtId="49" fontId="0" fillId="0" borderId="6" xfId="0" applyNumberFormat="1" applyBorder="1"/>
    <xf numFmtId="49" fontId="0" fillId="0" borderId="2" xfId="0" applyNumberFormat="1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Border="1"/>
    <xf numFmtId="0" fontId="7" fillId="0" borderId="0" xfId="0" applyFont="1" applyBorder="1" applyAlignment="1">
      <alignment horizontal="right"/>
    </xf>
    <xf numFmtId="3" fontId="0" fillId="0" borderId="0" xfId="0" applyNumberFormat="1" applyBorder="1"/>
    <xf numFmtId="4" fontId="0" fillId="0" borderId="0" xfId="0" applyNumberFormat="1" applyBorder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972C-C4EC-4C13-8094-0BC41FC85164}">
  <dimension ref="A1:C3"/>
  <sheetViews>
    <sheetView showGridLines="0" tabSelected="1" workbookViewId="0">
      <selection activeCell="A2" sqref="A2"/>
    </sheetView>
  </sheetViews>
  <sheetFormatPr defaultRowHeight="16.5" x14ac:dyDescent="0.3"/>
  <sheetData>
    <row r="1" spans="1:3" x14ac:dyDescent="0.3">
      <c r="A1" s="14" t="s">
        <v>42</v>
      </c>
      <c r="C1">
        <v>202603</v>
      </c>
    </row>
    <row r="2" spans="1:3" x14ac:dyDescent="0.3">
      <c r="C2">
        <v>202606</v>
      </c>
    </row>
    <row r="3" spans="1:3" x14ac:dyDescent="0.3">
      <c r="C3">
        <v>202609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showGridLines="0" workbookViewId="0">
      <selection activeCell="A36" sqref="A36"/>
    </sheetView>
  </sheetViews>
  <sheetFormatPr defaultRowHeight="16.5" x14ac:dyDescent="0.3"/>
  <cols>
    <col min="1" max="4" width="14.625" customWidth="1"/>
  </cols>
  <sheetData>
    <row r="1" spans="1:4" ht="15" customHeight="1" x14ac:dyDescent="0.3">
      <c r="A1" s="1" t="s">
        <v>0</v>
      </c>
      <c r="B1" t="s">
        <v>43</v>
      </c>
    </row>
    <row r="2" spans="1:4" x14ac:dyDescent="0.3">
      <c r="A2" s="2">
        <v>0</v>
      </c>
    </row>
    <row r="3" spans="1:4" x14ac:dyDescent="0.3">
      <c r="A3" s="4" t="s">
        <v>1</v>
      </c>
    </row>
    <row r="4" spans="1:4" x14ac:dyDescent="0.3">
      <c r="A4" s="6" t="s">
        <v>7</v>
      </c>
      <c r="B4" s="6" t="s">
        <v>2</v>
      </c>
      <c r="C4" s="6" t="s">
        <v>3</v>
      </c>
      <c r="D4" s="6">
        <v>1</v>
      </c>
    </row>
    <row r="5" spans="1:4" x14ac:dyDescent="0.3">
      <c r="A5" s="5" t="s">
        <v>8</v>
      </c>
      <c r="B5" s="5" t="s">
        <v>39</v>
      </c>
      <c r="C5" s="5" t="s">
        <v>4</v>
      </c>
      <c r="D5" s="5">
        <v>0</v>
      </c>
    </row>
    <row r="6" spans="1:4" x14ac:dyDescent="0.3">
      <c r="A6" s="7" t="s">
        <v>9</v>
      </c>
      <c r="B6" s="7" t="s">
        <v>40</v>
      </c>
      <c r="C6" s="7"/>
      <c r="D6" s="7">
        <v>0</v>
      </c>
    </row>
    <row r="8" spans="1:4" x14ac:dyDescent="0.3">
      <c r="A8" s="13" t="s">
        <v>11</v>
      </c>
      <c r="B8" s="22" t="str">
        <f>code</f>
        <v>A054950</v>
      </c>
      <c r="C8" s="22" t="str">
        <f>code</f>
        <v>A054950</v>
      </c>
      <c r="D8" s="22" t="str">
        <f>code</f>
        <v>A054950</v>
      </c>
    </row>
    <row r="9" spans="1:4" x14ac:dyDescent="0.3">
      <c r="A9" s="26" t="s">
        <v>12</v>
      </c>
      <c r="B9" s="15" t="s">
        <v>44</v>
      </c>
      <c r="C9" s="16" t="s">
        <v>44</v>
      </c>
      <c r="D9" s="16" t="s">
        <v>44</v>
      </c>
    </row>
    <row r="10" spans="1:4" x14ac:dyDescent="0.3">
      <c r="A10" s="9" t="s">
        <v>13</v>
      </c>
      <c r="B10" s="3" t="s">
        <v>5</v>
      </c>
      <c r="C10" s="3" t="s">
        <v>6</v>
      </c>
      <c r="D10" s="3" t="s">
        <v>31</v>
      </c>
    </row>
    <row r="11" spans="1:4" x14ac:dyDescent="0.3">
      <c r="A11" s="9" t="s">
        <v>14</v>
      </c>
      <c r="B11" s="3" t="s">
        <v>18</v>
      </c>
      <c r="C11" s="3" t="s">
        <v>18</v>
      </c>
      <c r="D11" s="3" t="s">
        <v>18</v>
      </c>
    </row>
    <row r="12" spans="1:4" x14ac:dyDescent="0.3">
      <c r="A12" s="9" t="s">
        <v>15</v>
      </c>
      <c r="B12">
        <f>fq_0</f>
        <v>202606</v>
      </c>
      <c r="C12">
        <f>fq_0</f>
        <v>202606</v>
      </c>
      <c r="D12">
        <f>fq_0</f>
        <v>202606</v>
      </c>
    </row>
    <row r="13" spans="1:4" x14ac:dyDescent="0.3">
      <c r="A13" s="26"/>
      <c r="B13" s="17"/>
      <c r="C13" s="25"/>
      <c r="D13" s="25"/>
    </row>
    <row r="14" spans="1:4" x14ac:dyDescent="0.3">
      <c r="A14" s="18" t="s">
        <v>10</v>
      </c>
      <c r="B14" s="19" t="s">
        <v>16</v>
      </c>
      <c r="C14" s="20" t="s">
        <v>17</v>
      </c>
      <c r="D14" s="20" t="s">
        <v>27</v>
      </c>
    </row>
    <row r="15" spans="1:4" x14ac:dyDescent="0.3">
      <c r="A15" s="10">
        <v>46052</v>
      </c>
      <c r="B15" s="11">
        <v>46500</v>
      </c>
      <c r="C15" s="11">
        <v>10100</v>
      </c>
      <c r="D15" s="11">
        <v>8500</v>
      </c>
    </row>
    <row r="16" spans="1:4" x14ac:dyDescent="0.3">
      <c r="A16" s="10">
        <v>46059</v>
      </c>
      <c r="B16" s="11">
        <v>46500</v>
      </c>
      <c r="C16" s="11">
        <v>10100</v>
      </c>
      <c r="D16" s="11">
        <v>8500</v>
      </c>
    </row>
    <row r="17" spans="1:4" x14ac:dyDescent="0.3">
      <c r="A17" s="10">
        <v>46066</v>
      </c>
      <c r="B17" s="11">
        <v>48500</v>
      </c>
      <c r="C17" s="11">
        <v>10850</v>
      </c>
      <c r="D17" s="11">
        <v>9350</v>
      </c>
    </row>
    <row r="18" spans="1:4" x14ac:dyDescent="0.3">
      <c r="A18" s="10">
        <v>46073</v>
      </c>
      <c r="B18" s="11">
        <v>48500</v>
      </c>
      <c r="C18" s="11">
        <v>10850</v>
      </c>
      <c r="D18" s="11">
        <v>9350</v>
      </c>
    </row>
    <row r="19" spans="1:4" x14ac:dyDescent="0.3">
      <c r="A19" s="10">
        <v>46080</v>
      </c>
      <c r="B19" s="11">
        <v>48500</v>
      </c>
      <c r="C19" s="11">
        <v>10850</v>
      </c>
      <c r="D19" s="11">
        <v>9350</v>
      </c>
    </row>
    <row r="20" spans="1:4" x14ac:dyDescent="0.3">
      <c r="A20" s="10">
        <v>46087</v>
      </c>
      <c r="B20" s="11">
        <v>48500</v>
      </c>
      <c r="C20" s="11">
        <v>10850</v>
      </c>
      <c r="D20" s="11">
        <v>9350</v>
      </c>
    </row>
    <row r="21" spans="1:4" x14ac:dyDescent="0.3">
      <c r="A21" s="10">
        <v>46094</v>
      </c>
      <c r="B21" s="11">
        <v>48500</v>
      </c>
      <c r="C21" s="11">
        <v>10850</v>
      </c>
      <c r="D21" s="11">
        <v>9350</v>
      </c>
    </row>
    <row r="22" spans="1:4" x14ac:dyDescent="0.3">
      <c r="A22" s="10">
        <v>46101</v>
      </c>
      <c r="B22" s="11">
        <v>48500</v>
      </c>
      <c r="C22" s="11">
        <v>10850</v>
      </c>
      <c r="D22" s="11">
        <v>9350</v>
      </c>
    </row>
    <row r="23" spans="1:4" x14ac:dyDescent="0.3">
      <c r="A23" s="10">
        <v>46108</v>
      </c>
      <c r="B23" s="11">
        <v>48500</v>
      </c>
      <c r="C23" s="11">
        <v>10850</v>
      </c>
      <c r="D23" s="11">
        <v>9350</v>
      </c>
    </row>
    <row r="24" spans="1:4" x14ac:dyDescent="0.3">
      <c r="A24" s="10">
        <v>46115</v>
      </c>
      <c r="B24" s="11">
        <v>48500</v>
      </c>
      <c r="C24" s="11">
        <v>10850</v>
      </c>
      <c r="D24" s="11">
        <v>9350</v>
      </c>
    </row>
    <row r="25" spans="1:4" x14ac:dyDescent="0.3">
      <c r="A25" s="10">
        <v>46122</v>
      </c>
      <c r="B25" s="11">
        <v>48500</v>
      </c>
      <c r="C25" s="11">
        <v>10850</v>
      </c>
      <c r="D25" s="11">
        <v>9350</v>
      </c>
    </row>
    <row r="26" spans="1:4" x14ac:dyDescent="0.3">
      <c r="A26" s="10">
        <v>46129</v>
      </c>
      <c r="B26" s="11">
        <v>49766.67</v>
      </c>
      <c r="C26" s="11">
        <v>11566.67</v>
      </c>
      <c r="D26" s="11">
        <v>9933.33</v>
      </c>
    </row>
    <row r="27" spans="1:4" x14ac:dyDescent="0.3">
      <c r="A27" s="10">
        <v>46136</v>
      </c>
      <c r="B27" s="11">
        <v>48200</v>
      </c>
      <c r="C27" s="11">
        <v>10800</v>
      </c>
      <c r="D27" s="11">
        <v>9933.33</v>
      </c>
    </row>
    <row r="28" spans="1:4" x14ac:dyDescent="0.3">
      <c r="A28" s="10">
        <v>46143</v>
      </c>
      <c r="B28" s="11">
        <v>47750</v>
      </c>
      <c r="C28" s="11">
        <v>10550</v>
      </c>
      <c r="D28" s="11">
        <v>9933.33</v>
      </c>
    </row>
    <row r="29" spans="1:4" x14ac:dyDescent="0.3">
      <c r="A29" s="10">
        <v>46150</v>
      </c>
      <c r="B29" s="11">
        <v>47750</v>
      </c>
      <c r="C29" s="11">
        <v>10550</v>
      </c>
      <c r="D29" s="11">
        <v>9933.33</v>
      </c>
    </row>
    <row r="30" spans="1:4" x14ac:dyDescent="0.3">
      <c r="A30" s="10">
        <v>46157</v>
      </c>
      <c r="B30" s="11">
        <v>47750</v>
      </c>
      <c r="C30" s="11">
        <v>10550</v>
      </c>
      <c r="D30" s="11">
        <v>9800</v>
      </c>
    </row>
    <row r="31" spans="1:4" x14ac:dyDescent="0.3">
      <c r="A31" s="10">
        <v>46164</v>
      </c>
      <c r="B31" s="11">
        <v>47750</v>
      </c>
      <c r="C31" s="11">
        <v>10550</v>
      </c>
      <c r="D31" s="11">
        <v>9800</v>
      </c>
    </row>
    <row r="32" spans="1:4" x14ac:dyDescent="0.3">
      <c r="A32" s="10">
        <v>46171</v>
      </c>
      <c r="B32" s="11">
        <v>47750</v>
      </c>
      <c r="C32" s="11">
        <v>10550</v>
      </c>
      <c r="D32" s="11">
        <v>9800</v>
      </c>
    </row>
    <row r="33" spans="1:4" x14ac:dyDescent="0.3">
      <c r="A33" s="10">
        <v>46178</v>
      </c>
      <c r="B33" s="12">
        <v>47750</v>
      </c>
      <c r="C33" s="12">
        <v>10550</v>
      </c>
      <c r="D33" s="12">
        <v>9800</v>
      </c>
    </row>
    <row r="34" spans="1:4" x14ac:dyDescent="0.3">
      <c r="A34" s="10">
        <v>46185</v>
      </c>
      <c r="B34" s="12">
        <v>47750</v>
      </c>
      <c r="C34" s="12">
        <v>10550</v>
      </c>
      <c r="D34" s="12">
        <v>9800</v>
      </c>
    </row>
    <row r="35" spans="1:4" x14ac:dyDescent="0.3">
      <c r="A35" s="10">
        <v>46192</v>
      </c>
      <c r="B35" s="12">
        <v>47750</v>
      </c>
      <c r="C35" s="12">
        <v>10550</v>
      </c>
      <c r="D35" s="12">
        <v>9800</v>
      </c>
    </row>
    <row r="36" spans="1:4" x14ac:dyDescent="0.3">
      <c r="A36" s="10">
        <v>46199</v>
      </c>
      <c r="B36" s="11">
        <v>47750</v>
      </c>
      <c r="C36" s="11">
        <v>10550</v>
      </c>
      <c r="D36" s="11">
        <v>9800</v>
      </c>
    </row>
    <row r="37" spans="1:4" x14ac:dyDescent="0.3">
      <c r="A37" s="10">
        <v>46206</v>
      </c>
      <c r="B37" s="11">
        <v>47750</v>
      </c>
      <c r="C37" s="11">
        <v>10550</v>
      </c>
      <c r="D37" s="11">
        <v>9800</v>
      </c>
    </row>
    <row r="38" spans="1:4" x14ac:dyDescent="0.3">
      <c r="A38" s="10">
        <v>46213</v>
      </c>
      <c r="B38" s="11">
        <v>47750</v>
      </c>
      <c r="C38" s="11">
        <v>10550</v>
      </c>
      <c r="D38" s="11">
        <v>9800</v>
      </c>
    </row>
    <row r="39" spans="1:4" x14ac:dyDescent="0.3">
      <c r="A39" s="10">
        <v>46220</v>
      </c>
      <c r="B39" s="12">
        <v>46433.33</v>
      </c>
      <c r="C39" s="12">
        <v>10033.33</v>
      </c>
      <c r="D39" s="12">
        <v>9200</v>
      </c>
    </row>
    <row r="40" spans="1:4" x14ac:dyDescent="0.3">
      <c r="A40" s="10">
        <v>46227</v>
      </c>
      <c r="B40" s="12">
        <v>46750</v>
      </c>
      <c r="C40" s="12">
        <v>10400</v>
      </c>
      <c r="D40" s="12">
        <v>9200</v>
      </c>
    </row>
    <row r="41" spans="1:4" x14ac:dyDescent="0.3">
      <c r="A41" s="10">
        <v>46234</v>
      </c>
      <c r="B41" s="12">
        <v>46750</v>
      </c>
      <c r="C41" s="12">
        <v>10400</v>
      </c>
      <c r="D41" s="12">
        <v>9200</v>
      </c>
    </row>
    <row r="42" spans="1:4" x14ac:dyDescent="0.3">
      <c r="A42" s="10"/>
      <c r="B42" s="11"/>
      <c r="C42" s="12"/>
      <c r="D42" s="12"/>
    </row>
    <row r="43" spans="1:4" x14ac:dyDescent="0.3">
      <c r="A43" s="10"/>
      <c r="B43" s="11"/>
      <c r="C43" s="12"/>
      <c r="D43" s="12"/>
    </row>
    <row r="44" spans="1:4" x14ac:dyDescent="0.3">
      <c r="A44" s="10"/>
      <c r="B44" s="11"/>
      <c r="C44" s="11"/>
      <c r="D44" s="11"/>
    </row>
    <row r="45" spans="1:4" x14ac:dyDescent="0.3">
      <c r="A45" s="10"/>
      <c r="B45" s="11"/>
      <c r="C45" s="11"/>
      <c r="D45" s="11"/>
    </row>
    <row r="46" spans="1:4" x14ac:dyDescent="0.3">
      <c r="A46" s="10"/>
      <c r="B46" s="11"/>
      <c r="C46" s="11"/>
      <c r="D46" s="11"/>
    </row>
    <row r="47" spans="1:4" x14ac:dyDescent="0.3">
      <c r="A47" s="10"/>
      <c r="B47" s="11"/>
      <c r="C47" s="11"/>
      <c r="D47" s="11"/>
    </row>
    <row r="48" spans="1:4" x14ac:dyDescent="0.3">
      <c r="A48" s="10"/>
      <c r="B48" s="11"/>
      <c r="C48" s="11"/>
      <c r="D48" s="11"/>
    </row>
    <row r="49" spans="1:4" x14ac:dyDescent="0.3">
      <c r="A49" s="10"/>
      <c r="B49" s="11"/>
      <c r="C49" s="11"/>
      <c r="D49" s="11"/>
    </row>
    <row r="50" spans="1:4" x14ac:dyDescent="0.3">
      <c r="A50" s="10"/>
      <c r="B50" s="11"/>
      <c r="C50" s="11"/>
      <c r="D50" s="11"/>
    </row>
    <row r="51" spans="1:4" x14ac:dyDescent="0.3">
      <c r="A51" s="10"/>
      <c r="B51" s="11"/>
      <c r="C51" s="11"/>
      <c r="D51" s="11"/>
    </row>
    <row r="52" spans="1:4" x14ac:dyDescent="0.3">
      <c r="A52" s="10"/>
      <c r="B52" s="11"/>
      <c r="C52" s="11"/>
      <c r="D52" s="11"/>
    </row>
    <row r="53" spans="1:4" x14ac:dyDescent="0.3">
      <c r="A53" s="10"/>
      <c r="B53" s="11"/>
      <c r="C53" s="11"/>
      <c r="D53" s="11"/>
    </row>
  </sheetData>
  <phoneticPr fontId="4" type="noConversion"/>
  <hyperlinks>
    <hyperlink ref="A1" tooltip="Quantiwise7G" display="     Refresh     " xr:uid="{84217E01-BE10-4A97-AE0A-DA6636DAC9CD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984A-3C4D-4B0C-A161-707A81DF9464}">
  <dimension ref="A1:F13"/>
  <sheetViews>
    <sheetView showGridLines="0" workbookViewId="0">
      <pane xSplit="3" ySplit="10" topLeftCell="D11" activePane="bottomRight" state="frozen"/>
      <selection pane="topRight" activeCell="D1" sqref="D1"/>
      <selection pane="bottomLeft" activeCell="A14" sqref="A14"/>
      <selection pane="bottomRight" activeCell="B16" sqref="B16"/>
    </sheetView>
  </sheetViews>
  <sheetFormatPr defaultRowHeight="16.5" x14ac:dyDescent="0.3"/>
  <cols>
    <col min="1" max="6" width="14.625" customWidth="1"/>
  </cols>
  <sheetData>
    <row r="1" spans="1:6" ht="15" customHeight="1" x14ac:dyDescent="0.3">
      <c r="A1" s="1" t="s">
        <v>0</v>
      </c>
      <c r="B1" t="s">
        <v>45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5</v>
      </c>
      <c r="B11" s="23">
        <f>fq_1</f>
        <v>202609</v>
      </c>
      <c r="C11" s="5" t="s">
        <v>30</v>
      </c>
      <c r="D11" s="5" t="s">
        <v>29</v>
      </c>
      <c r="E11" t="s">
        <v>16</v>
      </c>
      <c r="F11" s="28">
        <v>46500</v>
      </c>
    </row>
    <row r="12" spans="1:6" x14ac:dyDescent="0.3">
      <c r="A12" s="23" t="s">
        <v>6</v>
      </c>
      <c r="B12" s="23">
        <f>fq_1</f>
        <v>202609</v>
      </c>
      <c r="C12" s="5" t="s">
        <v>30</v>
      </c>
      <c r="D12" s="5" t="s">
        <v>29</v>
      </c>
      <c r="E12" t="s">
        <v>17</v>
      </c>
      <c r="F12" s="27">
        <v>9100</v>
      </c>
    </row>
    <row r="13" spans="1:6" x14ac:dyDescent="0.3">
      <c r="A13" s="23" t="s">
        <v>28</v>
      </c>
      <c r="B13" s="23">
        <f>fq_1</f>
        <v>202609</v>
      </c>
      <c r="C13" s="5" t="s">
        <v>30</v>
      </c>
      <c r="D13" s="5" t="s">
        <v>29</v>
      </c>
      <c r="E13" t="s">
        <v>27</v>
      </c>
      <c r="F13" s="27">
        <v>6700</v>
      </c>
    </row>
  </sheetData>
  <phoneticPr fontId="4" type="noConversion"/>
  <hyperlinks>
    <hyperlink ref="A1" tooltip="Quantiwise7G" display="     Refresh     " xr:uid="{F128DA28-A20D-43C4-8EDF-DDA871C6C5A6}"/>
  </hyperlink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1EDF-2DCB-4A90-8E96-88F6E1192DC1}">
  <dimension ref="A1:F23"/>
  <sheetViews>
    <sheetView showGridLines="0" workbookViewId="0"/>
  </sheetViews>
  <sheetFormatPr defaultRowHeight="16.5" x14ac:dyDescent="0.3"/>
  <cols>
    <col min="1" max="6" width="14.625" customWidth="1"/>
  </cols>
  <sheetData>
    <row r="1" spans="1:6" ht="15" customHeight="1" x14ac:dyDescent="0.3">
      <c r="A1" s="1" t="s">
        <v>0</v>
      </c>
      <c r="B1" t="s">
        <v>46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20</v>
      </c>
      <c r="B11" s="23" t="str">
        <f>LEFT(B12,4)-1&amp; "AS"</f>
        <v>2021AS</v>
      </c>
      <c r="C11" s="5" t="s">
        <v>18</v>
      </c>
      <c r="D11" s="5"/>
      <c r="E11" t="s">
        <v>16</v>
      </c>
      <c r="F11" s="27">
        <v>115826.3</v>
      </c>
    </row>
    <row r="12" spans="1:6" x14ac:dyDescent="0.3">
      <c r="A12" s="23" t="s">
        <v>20</v>
      </c>
      <c r="B12" s="23" t="str">
        <f>LEFT(B13,4)-1&amp; "AS"</f>
        <v>2022AS</v>
      </c>
      <c r="C12" s="5" t="s">
        <v>18</v>
      </c>
      <c r="D12" s="5"/>
      <c r="E12" t="s">
        <v>16</v>
      </c>
      <c r="F12" s="28">
        <v>141977.63</v>
      </c>
    </row>
    <row r="13" spans="1:6" x14ac:dyDescent="0.3">
      <c r="A13" s="23" t="s">
        <v>20</v>
      </c>
      <c r="B13" s="23" t="str">
        <f>LEFT(B14,4)-1&amp; "AS"</f>
        <v>2023AS</v>
      </c>
      <c r="C13" s="5" t="s">
        <v>18</v>
      </c>
      <c r="D13" s="5"/>
      <c r="E13" t="s">
        <v>16</v>
      </c>
      <c r="F13" s="28">
        <v>157085.34</v>
      </c>
    </row>
    <row r="14" spans="1:6" x14ac:dyDescent="0.3">
      <c r="A14" s="23" t="s">
        <v>20</v>
      </c>
      <c r="B14" s="23" t="str">
        <f>LEFT(B15,4)-1&amp; "AS"</f>
        <v>2024AS</v>
      </c>
      <c r="C14" s="5" t="s">
        <v>18</v>
      </c>
      <c r="D14" s="5"/>
      <c r="E14" t="s">
        <v>16</v>
      </c>
      <c r="F14" s="28">
        <v>159434.15</v>
      </c>
    </row>
    <row r="15" spans="1:6" x14ac:dyDescent="0.3">
      <c r="A15" s="23" t="s">
        <v>20</v>
      </c>
      <c r="B15" s="23" t="str">
        <f>IF(RIGHT(B23,2)="03",LEFT(B23,4)-1&amp; "AS",LEFT(B23,4)&amp; "AS")</f>
        <v>2025AS</v>
      </c>
      <c r="C15" s="5" t="s">
        <v>18</v>
      </c>
      <c r="D15" s="5"/>
      <c r="E15" t="s">
        <v>16</v>
      </c>
      <c r="F15" s="28">
        <v>173129.22</v>
      </c>
    </row>
    <row r="16" spans="1:6" x14ac:dyDescent="0.3">
      <c r="A16" s="23" t="s">
        <v>20</v>
      </c>
      <c r="B16" s="23">
        <f t="shared" ref="B16:B22" si="0">IF(RIGHT(B17,2)="03",LEFT(B17,4)-1 &amp; "12",B17-3)</f>
        <v>202406</v>
      </c>
      <c r="C16" s="5" t="s">
        <v>18</v>
      </c>
      <c r="D16" s="5"/>
      <c r="E16" t="s">
        <v>16</v>
      </c>
      <c r="F16" s="28">
        <v>37746.089999999997</v>
      </c>
    </row>
    <row r="17" spans="1:6" x14ac:dyDescent="0.3">
      <c r="A17" s="23" t="s">
        <v>20</v>
      </c>
      <c r="B17" s="23">
        <f t="shared" si="0"/>
        <v>202409</v>
      </c>
      <c r="C17" s="5" t="s">
        <v>18</v>
      </c>
      <c r="D17" s="5"/>
      <c r="E17" t="s">
        <v>16</v>
      </c>
      <c r="F17" s="28">
        <v>37370.71</v>
      </c>
    </row>
    <row r="18" spans="1:6" x14ac:dyDescent="0.3">
      <c r="A18" s="23" t="s">
        <v>20</v>
      </c>
      <c r="B18" s="23" t="str">
        <f t="shared" si="0"/>
        <v>202412</v>
      </c>
      <c r="C18" s="5" t="s">
        <v>18</v>
      </c>
      <c r="D18" s="5"/>
      <c r="E18" t="s">
        <v>16</v>
      </c>
      <c r="F18" s="28">
        <v>44157.56</v>
      </c>
    </row>
    <row r="19" spans="1:6" x14ac:dyDescent="0.3">
      <c r="A19" s="23" t="s">
        <v>20</v>
      </c>
      <c r="B19" s="23">
        <f t="shared" si="0"/>
        <v>202503</v>
      </c>
      <c r="C19" s="5" t="s">
        <v>18</v>
      </c>
      <c r="D19" s="5"/>
      <c r="E19" t="s">
        <v>16</v>
      </c>
      <c r="F19" s="28">
        <v>42819.11</v>
      </c>
    </row>
    <row r="20" spans="1:6" x14ac:dyDescent="0.3">
      <c r="A20" s="23" t="s">
        <v>20</v>
      </c>
      <c r="B20" s="23">
        <f t="shared" si="0"/>
        <v>202506</v>
      </c>
      <c r="C20" s="5" t="s">
        <v>18</v>
      </c>
      <c r="D20" s="5"/>
      <c r="E20" t="s">
        <v>16</v>
      </c>
      <c r="F20" s="28">
        <v>47537.48</v>
      </c>
    </row>
    <row r="21" spans="1:6" x14ac:dyDescent="0.3">
      <c r="A21" s="23" t="s">
        <v>20</v>
      </c>
      <c r="B21" s="23">
        <f t="shared" si="0"/>
        <v>202509</v>
      </c>
      <c r="C21" s="5" t="s">
        <v>18</v>
      </c>
      <c r="D21" s="5"/>
      <c r="E21" t="s">
        <v>16</v>
      </c>
      <c r="F21" s="28">
        <v>39705.21</v>
      </c>
    </row>
    <row r="22" spans="1:6" x14ac:dyDescent="0.3">
      <c r="A22" s="23" t="s">
        <v>20</v>
      </c>
      <c r="B22" s="23" t="str">
        <f t="shared" si="0"/>
        <v>202512</v>
      </c>
      <c r="C22" s="5" t="s">
        <v>18</v>
      </c>
      <c r="D22" s="5"/>
      <c r="E22" t="s">
        <v>16</v>
      </c>
      <c r="F22" s="28">
        <v>43067.42</v>
      </c>
    </row>
    <row r="23" spans="1:6" x14ac:dyDescent="0.3">
      <c r="A23" s="23" t="s">
        <v>20</v>
      </c>
      <c r="B23" s="23">
        <f>fq_m1</f>
        <v>202603</v>
      </c>
      <c r="C23" s="5" t="s">
        <v>18</v>
      </c>
      <c r="D23" s="5"/>
      <c r="E23" t="s">
        <v>16</v>
      </c>
      <c r="F23" s="28">
        <v>45484.14</v>
      </c>
    </row>
  </sheetData>
  <phoneticPr fontId="4" type="noConversion"/>
  <hyperlinks>
    <hyperlink ref="A1" tooltip="Quantiwise7G" display="     Refresh     " xr:uid="{2233340E-F93E-4F19-95BD-3FE016B90C70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6DB7-E11F-484E-92D2-8742CC2EE892}">
  <dimension ref="A1:F23"/>
  <sheetViews>
    <sheetView workbookViewId="0"/>
  </sheetViews>
  <sheetFormatPr defaultRowHeight="16.5" x14ac:dyDescent="0.3"/>
  <sheetData>
    <row r="1" spans="1:6" x14ac:dyDescent="0.3">
      <c r="A1" s="1" t="s">
        <v>0</v>
      </c>
      <c r="B1" t="s">
        <v>47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21</v>
      </c>
      <c r="B11" s="23" t="str">
        <f>LEFT(B12,4)-1&amp; "AS"</f>
        <v>2021AS</v>
      </c>
      <c r="C11" s="5" t="s">
        <v>18</v>
      </c>
      <c r="D11" s="5"/>
      <c r="E11" t="s">
        <v>17</v>
      </c>
      <c r="F11" s="27">
        <v>12494.62</v>
      </c>
    </row>
    <row r="12" spans="1:6" x14ac:dyDescent="0.3">
      <c r="A12" s="23" t="s">
        <v>21</v>
      </c>
      <c r="B12" s="23" t="str">
        <f>LEFT(B13,4)-1&amp; "AS"</f>
        <v>2022AS</v>
      </c>
      <c r="C12" s="5" t="s">
        <v>18</v>
      </c>
      <c r="D12" s="5"/>
      <c r="E12" t="s">
        <v>17</v>
      </c>
      <c r="F12" s="28">
        <v>21991.34</v>
      </c>
    </row>
    <row r="13" spans="1:6" x14ac:dyDescent="0.3">
      <c r="A13" s="23" t="s">
        <v>21</v>
      </c>
      <c r="B13" s="23" t="str">
        <f>LEFT(B14,4)-1&amp; "AS"</f>
        <v>2023AS</v>
      </c>
      <c r="C13" s="5" t="s">
        <v>18</v>
      </c>
      <c r="D13" s="5"/>
      <c r="E13" t="s">
        <v>17</v>
      </c>
      <c r="F13" s="28">
        <v>29770.73</v>
      </c>
    </row>
    <row r="14" spans="1:6" x14ac:dyDescent="0.3">
      <c r="A14" s="23" t="s">
        <v>21</v>
      </c>
      <c r="B14" s="23" t="str">
        <f>LEFT(B15,4)-1&amp; "AS"</f>
        <v>2024AS</v>
      </c>
      <c r="C14" s="5" t="s">
        <v>18</v>
      </c>
      <c r="D14" s="5"/>
      <c r="E14" t="s">
        <v>17</v>
      </c>
      <c r="F14" s="28">
        <v>30675.01</v>
      </c>
    </row>
    <row r="15" spans="1:6" x14ac:dyDescent="0.3">
      <c r="A15" s="23" t="s">
        <v>21</v>
      </c>
      <c r="B15" s="23" t="str">
        <f>IF(RIGHT(B23,2)="03",LEFT(B23,4)-1&amp; "AS",LEFT(B23,4)&amp; "AS")</f>
        <v>2025AS</v>
      </c>
      <c r="C15" s="5" t="s">
        <v>18</v>
      </c>
      <c r="D15" s="5"/>
      <c r="E15" t="s">
        <v>17</v>
      </c>
      <c r="F15" s="28">
        <v>33276.26</v>
      </c>
    </row>
    <row r="16" spans="1:6" x14ac:dyDescent="0.3">
      <c r="A16" s="23" t="s">
        <v>21</v>
      </c>
      <c r="B16" s="23">
        <f t="shared" ref="B16:B22" si="0">IF(RIGHT(B17,2)="03",LEFT(B17,4)-1 &amp; "12",B17-3)</f>
        <v>202406</v>
      </c>
      <c r="C16" s="5" t="s">
        <v>18</v>
      </c>
      <c r="D16" s="5"/>
      <c r="E16" t="s">
        <v>17</v>
      </c>
      <c r="F16" s="28">
        <v>6870.05</v>
      </c>
    </row>
    <row r="17" spans="1:6" x14ac:dyDescent="0.3">
      <c r="A17" s="23" t="s">
        <v>21</v>
      </c>
      <c r="B17" s="23">
        <f t="shared" si="0"/>
        <v>202409</v>
      </c>
      <c r="C17" s="5" t="s">
        <v>18</v>
      </c>
      <c r="D17" s="5"/>
      <c r="E17" t="s">
        <v>17</v>
      </c>
      <c r="F17" s="28">
        <v>7359.69</v>
      </c>
    </row>
    <row r="18" spans="1:6" x14ac:dyDescent="0.3">
      <c r="A18" s="23" t="s">
        <v>21</v>
      </c>
      <c r="B18" s="23" t="str">
        <f t="shared" si="0"/>
        <v>202412</v>
      </c>
      <c r="C18" s="5" t="s">
        <v>18</v>
      </c>
      <c r="D18" s="5"/>
      <c r="E18" t="s">
        <v>17</v>
      </c>
      <c r="F18" s="28">
        <v>9126.74</v>
      </c>
    </row>
    <row r="19" spans="1:6" x14ac:dyDescent="0.3">
      <c r="A19" s="23" t="s">
        <v>21</v>
      </c>
      <c r="B19" s="23">
        <f t="shared" si="0"/>
        <v>202503</v>
      </c>
      <c r="C19" s="5" t="s">
        <v>18</v>
      </c>
      <c r="D19" s="5"/>
      <c r="E19" t="s">
        <v>17</v>
      </c>
      <c r="F19" s="28">
        <v>8865.2000000000007</v>
      </c>
    </row>
    <row r="20" spans="1:6" x14ac:dyDescent="0.3">
      <c r="A20" s="23" t="s">
        <v>21</v>
      </c>
      <c r="B20" s="23">
        <f t="shared" si="0"/>
        <v>202506</v>
      </c>
      <c r="C20" s="5" t="s">
        <v>18</v>
      </c>
      <c r="D20" s="5"/>
      <c r="E20" t="s">
        <v>17</v>
      </c>
      <c r="F20" s="28">
        <v>10903.18</v>
      </c>
    </row>
    <row r="21" spans="1:6" x14ac:dyDescent="0.3">
      <c r="A21" s="23" t="s">
        <v>21</v>
      </c>
      <c r="B21" s="23">
        <f t="shared" si="0"/>
        <v>202509</v>
      </c>
      <c r="C21" s="5" t="s">
        <v>18</v>
      </c>
      <c r="D21" s="5"/>
      <c r="E21" t="s">
        <v>17</v>
      </c>
      <c r="F21" s="28">
        <v>7596.14</v>
      </c>
    </row>
    <row r="22" spans="1:6" x14ac:dyDescent="0.3">
      <c r="A22" s="23" t="s">
        <v>21</v>
      </c>
      <c r="B22" s="23" t="str">
        <f t="shared" si="0"/>
        <v>202512</v>
      </c>
      <c r="C22" s="5" t="s">
        <v>18</v>
      </c>
      <c r="D22" s="5"/>
      <c r="E22" t="s">
        <v>17</v>
      </c>
      <c r="F22" s="28">
        <v>5911.74</v>
      </c>
    </row>
    <row r="23" spans="1:6" x14ac:dyDescent="0.3">
      <c r="A23" s="23" t="s">
        <v>21</v>
      </c>
      <c r="B23" s="23">
        <f>fq_m1</f>
        <v>202603</v>
      </c>
      <c r="C23" s="5" t="s">
        <v>18</v>
      </c>
      <c r="D23" s="5"/>
      <c r="E23" t="s">
        <v>17</v>
      </c>
      <c r="F23" s="28">
        <v>9291.85</v>
      </c>
    </row>
  </sheetData>
  <phoneticPr fontId="4" type="noConversion"/>
  <hyperlinks>
    <hyperlink ref="A1" tooltip="Quantiwise7G" display="     Refresh     " xr:uid="{8C915264-31D0-4305-A3A5-5E220FD08B24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C501-941D-4202-8360-4807519FEDFF}">
  <dimension ref="A1:F23"/>
  <sheetViews>
    <sheetView workbookViewId="0">
      <selection activeCell="F9" sqref="F9"/>
    </sheetView>
  </sheetViews>
  <sheetFormatPr defaultRowHeight="16.5" x14ac:dyDescent="0.3"/>
  <cols>
    <col min="5" max="5" width="16.5" bestFit="1" customWidth="1"/>
  </cols>
  <sheetData>
    <row r="1" spans="1:6" x14ac:dyDescent="0.3">
      <c r="A1" s="1" t="s">
        <v>0</v>
      </c>
      <c r="B1" t="s">
        <v>48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22</v>
      </c>
      <c r="B11" s="23" t="str">
        <f>LEFT(B12,4)-1&amp; "AS"</f>
        <v>2021AS</v>
      </c>
      <c r="C11" s="5" t="s">
        <v>18</v>
      </c>
      <c r="D11" s="5"/>
      <c r="E11" t="s">
        <v>27</v>
      </c>
      <c r="F11" s="27">
        <v>8950.51</v>
      </c>
    </row>
    <row r="12" spans="1:6" x14ac:dyDescent="0.3">
      <c r="A12" s="23" t="s">
        <v>22</v>
      </c>
      <c r="B12" s="23" t="str">
        <f>LEFT(B13,4)-1&amp; "AS"</f>
        <v>2022AS</v>
      </c>
      <c r="C12" s="5" t="s">
        <v>18</v>
      </c>
      <c r="D12" s="5"/>
      <c r="E12" t="s">
        <v>27</v>
      </c>
      <c r="F12" s="28">
        <v>15756.5</v>
      </c>
    </row>
    <row r="13" spans="1:6" x14ac:dyDescent="0.3">
      <c r="A13" s="23" t="s">
        <v>22</v>
      </c>
      <c r="B13" s="23" t="str">
        <f>LEFT(B14,4)-1&amp; "AS"</f>
        <v>2023AS</v>
      </c>
      <c r="C13" s="5" t="s">
        <v>18</v>
      </c>
      <c r="D13" s="5"/>
      <c r="E13" t="s">
        <v>27</v>
      </c>
      <c r="F13" s="28">
        <v>26243.57</v>
      </c>
    </row>
    <row r="14" spans="1:6" x14ac:dyDescent="0.3">
      <c r="A14" s="23" t="s">
        <v>22</v>
      </c>
      <c r="B14" s="23" t="str">
        <f>LEFT(B15,4)-1&amp; "AS"</f>
        <v>2024AS</v>
      </c>
      <c r="C14" s="5" t="s">
        <v>18</v>
      </c>
      <c r="D14" s="5"/>
      <c r="E14" t="s">
        <v>27</v>
      </c>
      <c r="F14" s="28">
        <v>28844.34</v>
      </c>
    </row>
    <row r="15" spans="1:6" x14ac:dyDescent="0.3">
      <c r="A15" s="23" t="s">
        <v>22</v>
      </c>
      <c r="B15" s="23" t="str">
        <f>IF(RIGHT(B23,2)="03",LEFT(B23,4)-1&amp; "AS",LEFT(B23,4)&amp; "AS")</f>
        <v>2025AS</v>
      </c>
      <c r="C15" s="5" t="s">
        <v>18</v>
      </c>
      <c r="D15" s="5"/>
      <c r="E15" t="s">
        <v>27</v>
      </c>
      <c r="F15" s="28">
        <v>28350.799999999999</v>
      </c>
    </row>
    <row r="16" spans="1:6" x14ac:dyDescent="0.3">
      <c r="A16" s="23" t="s">
        <v>22</v>
      </c>
      <c r="B16" s="23">
        <f t="shared" ref="B16:B22" si="0">IF(RIGHT(B17,2)="03",LEFT(B17,4)-1 &amp; "12",B17-3)</f>
        <v>202406</v>
      </c>
      <c r="C16" s="5" t="s">
        <v>18</v>
      </c>
      <c r="D16" s="5"/>
      <c r="E16" t="s">
        <v>27</v>
      </c>
      <c r="F16" s="28">
        <v>6041.89</v>
      </c>
    </row>
    <row r="17" spans="1:6" x14ac:dyDescent="0.3">
      <c r="A17" s="23" t="s">
        <v>22</v>
      </c>
      <c r="B17" s="23">
        <f t="shared" si="0"/>
        <v>202409</v>
      </c>
      <c r="C17" s="5" t="s">
        <v>18</v>
      </c>
      <c r="D17" s="5"/>
      <c r="E17" t="s">
        <v>27</v>
      </c>
      <c r="F17" s="28">
        <v>6896.24</v>
      </c>
    </row>
    <row r="18" spans="1:6" x14ac:dyDescent="0.3">
      <c r="A18" s="23" t="s">
        <v>22</v>
      </c>
      <c r="B18" s="23" t="str">
        <f t="shared" si="0"/>
        <v>202412</v>
      </c>
      <c r="C18" s="5" t="s">
        <v>18</v>
      </c>
      <c r="D18" s="5"/>
      <c r="E18" t="s">
        <v>27</v>
      </c>
      <c r="F18" s="28">
        <v>7644.84</v>
      </c>
    </row>
    <row r="19" spans="1:6" x14ac:dyDescent="0.3">
      <c r="A19" s="23" t="s">
        <v>22</v>
      </c>
      <c r="B19" s="23">
        <f t="shared" si="0"/>
        <v>202503</v>
      </c>
      <c r="C19" s="5" t="s">
        <v>18</v>
      </c>
      <c r="D19" s="5"/>
      <c r="E19" t="s">
        <v>27</v>
      </c>
      <c r="F19" s="28">
        <v>7777.06</v>
      </c>
    </row>
    <row r="20" spans="1:6" x14ac:dyDescent="0.3">
      <c r="A20" s="23" t="s">
        <v>22</v>
      </c>
      <c r="B20" s="23">
        <f t="shared" si="0"/>
        <v>202506</v>
      </c>
      <c r="C20" s="5" t="s">
        <v>18</v>
      </c>
      <c r="D20" s="5"/>
      <c r="E20" t="s">
        <v>27</v>
      </c>
      <c r="F20" s="28">
        <v>8899.81</v>
      </c>
    </row>
    <row r="21" spans="1:6" x14ac:dyDescent="0.3">
      <c r="A21" s="23" t="s">
        <v>22</v>
      </c>
      <c r="B21" s="23">
        <f t="shared" si="0"/>
        <v>202509</v>
      </c>
      <c r="C21" s="5" t="s">
        <v>18</v>
      </c>
      <c r="D21" s="5"/>
      <c r="E21" t="s">
        <v>27</v>
      </c>
      <c r="F21" s="28">
        <v>6399.22</v>
      </c>
    </row>
    <row r="22" spans="1:6" x14ac:dyDescent="0.3">
      <c r="A22" s="23" t="s">
        <v>22</v>
      </c>
      <c r="B22" s="23" t="str">
        <f t="shared" si="0"/>
        <v>202512</v>
      </c>
      <c r="C22" s="5" t="s">
        <v>18</v>
      </c>
      <c r="D22" s="5"/>
      <c r="E22" t="s">
        <v>27</v>
      </c>
      <c r="F22" s="28">
        <v>5274.71</v>
      </c>
    </row>
    <row r="23" spans="1:6" x14ac:dyDescent="0.3">
      <c r="A23" s="23" t="s">
        <v>22</v>
      </c>
      <c r="B23" s="23">
        <f>fq_m1</f>
        <v>202603</v>
      </c>
      <c r="C23" s="5" t="s">
        <v>18</v>
      </c>
      <c r="D23" s="5"/>
      <c r="E23" t="s">
        <v>27</v>
      </c>
      <c r="F23" s="28">
        <v>7593.69</v>
      </c>
    </row>
  </sheetData>
  <phoneticPr fontId="4" type="noConversion"/>
  <hyperlinks>
    <hyperlink ref="A1" tooltip="Quantiwise7G" display="     Refresh     " xr:uid="{17ADB6EA-82DE-47F2-AACF-C9CA2ABE6E9B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9A99-A57E-4305-9FDC-69C419CD033C}">
  <dimension ref="A1:B3"/>
  <sheetViews>
    <sheetView zoomScale="115" zoomScaleNormal="115" workbookViewId="0"/>
  </sheetViews>
  <sheetFormatPr defaultRowHeight="16.5" x14ac:dyDescent="0.3"/>
  <cols>
    <col min="1" max="1" width="32" bestFit="1" customWidth="1"/>
    <col min="2" max="2" width="9.5" bestFit="1" customWidth="1"/>
  </cols>
  <sheetData>
    <row r="1" spans="1:2" x14ac:dyDescent="0.3">
      <c r="A1" t="str">
        <f>sales_cum!$H$14&amp; " 매출액"</f>
        <v>202603 매출액</v>
      </c>
      <c r="B1">
        <f>sales_cum!F14</f>
        <v>45484.14</v>
      </c>
    </row>
    <row r="2" spans="1:2" x14ac:dyDescent="0.3">
      <c r="A2" t="str">
        <f>op_cum!$H$14&amp; " 영업이익"</f>
        <v>202603 영업이익</v>
      </c>
      <c r="B2">
        <f>op_cum!F14</f>
        <v>9291.85</v>
      </c>
    </row>
    <row r="3" spans="1:2" x14ac:dyDescent="0.3">
      <c r="A3" t="str">
        <f>income_cum!$H$14&amp; " 당기순이익(지배)"</f>
        <v>202603 당기순이익(지배)</v>
      </c>
      <c r="B3">
        <f>income_cum!F14</f>
        <v>7593.69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983-10F5-4B7F-80C9-EE47B3DB6296}">
  <dimension ref="A1:H14"/>
  <sheetViews>
    <sheetView showGridLines="0" workbookViewId="0">
      <selection activeCell="A3" sqref="A3"/>
    </sheetView>
  </sheetViews>
  <sheetFormatPr defaultRowHeight="16.5" x14ac:dyDescent="0.3"/>
  <cols>
    <col min="1" max="6" width="14.625" customWidth="1"/>
  </cols>
  <sheetData>
    <row r="1" spans="1:8" ht="15" customHeight="1" x14ac:dyDescent="0.3">
      <c r="A1" s="1" t="s">
        <v>0</v>
      </c>
      <c r="B1" t="s">
        <v>49</v>
      </c>
    </row>
    <row r="3" spans="1:8" x14ac:dyDescent="0.3">
      <c r="A3" s="24" t="s">
        <v>24</v>
      </c>
    </row>
    <row r="4" spans="1:8" x14ac:dyDescent="0.3">
      <c r="A4" s="6" t="s">
        <v>23</v>
      </c>
      <c r="B4" s="6" t="s">
        <v>19</v>
      </c>
      <c r="C4" s="6" t="s">
        <v>4</v>
      </c>
    </row>
    <row r="5" spans="1:8" x14ac:dyDescent="0.3">
      <c r="A5" s="5"/>
      <c r="B5" s="5"/>
      <c r="C5" s="5"/>
    </row>
    <row r="6" spans="1:8" x14ac:dyDescent="0.3">
      <c r="A6" s="5"/>
      <c r="B6" s="5"/>
      <c r="C6" s="5"/>
    </row>
    <row r="7" spans="1:8" x14ac:dyDescent="0.3">
      <c r="A7" s="7"/>
      <c r="B7" s="7"/>
      <c r="C7" s="7"/>
    </row>
    <row r="9" spans="1:8" x14ac:dyDescent="0.3">
      <c r="A9" s="21"/>
      <c r="B9" s="21"/>
      <c r="C9" s="21"/>
      <c r="D9" s="21"/>
      <c r="E9" s="8"/>
      <c r="F9" s="6" t="str">
        <f>code</f>
        <v>A054950</v>
      </c>
    </row>
    <row r="10" spans="1:8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8" x14ac:dyDescent="0.3">
      <c r="A11" s="23" t="s">
        <v>20</v>
      </c>
      <c r="B11" s="23">
        <f t="shared" ref="B11:B12" si="0">IF(RIGHT(B12,2)="03",LEFT(B12,4)-1 &amp; "12",B12-3)</f>
        <v>202509</v>
      </c>
      <c r="C11" s="5" t="s">
        <v>18</v>
      </c>
      <c r="D11" s="5"/>
      <c r="E11" t="s">
        <v>16</v>
      </c>
      <c r="F11" s="28">
        <v>39705.21</v>
      </c>
      <c r="G11" t="str">
        <f>LEFT(B11,4)</f>
        <v>2025</v>
      </c>
      <c r="H11" t="b">
        <f>G11=LEFT(fq_0,4)</f>
        <v>0</v>
      </c>
    </row>
    <row r="12" spans="1:8" x14ac:dyDescent="0.3">
      <c r="A12" s="23" t="s">
        <v>20</v>
      </c>
      <c r="B12" s="23" t="str">
        <f t="shared" si="0"/>
        <v>202512</v>
      </c>
      <c r="C12" s="5" t="s">
        <v>18</v>
      </c>
      <c r="D12" s="5"/>
      <c r="E12" t="s">
        <v>16</v>
      </c>
      <c r="F12" s="28">
        <v>43067.42</v>
      </c>
      <c r="G12" t="str">
        <f t="shared" ref="G12:G13" si="1">LEFT(B12,4)</f>
        <v>2025</v>
      </c>
      <c r="H12" t="b">
        <f>G12=LEFT(fq_0,4)</f>
        <v>0</v>
      </c>
    </row>
    <row r="13" spans="1:8" x14ac:dyDescent="0.3">
      <c r="A13" s="23" t="s">
        <v>20</v>
      </c>
      <c r="B13" s="23">
        <f>fq_m1</f>
        <v>202603</v>
      </c>
      <c r="C13" s="5" t="s">
        <v>18</v>
      </c>
      <c r="D13" s="5"/>
      <c r="E13" t="s">
        <v>16</v>
      </c>
      <c r="F13" s="28">
        <v>45484.14</v>
      </c>
      <c r="G13" t="str">
        <f t="shared" si="1"/>
        <v>2026</v>
      </c>
      <c r="H13" t="b">
        <f>G13=LEFT(fq_0,4)</f>
        <v>1</v>
      </c>
    </row>
    <row r="14" spans="1:8" x14ac:dyDescent="0.3">
      <c r="A14" s="23"/>
      <c r="B14" s="23"/>
      <c r="C14" s="5"/>
      <c r="D14" s="5"/>
      <c r="F14">
        <f>SUMIF(G11:G13,LEFT(fq_0,4),F11:F13)</f>
        <v>45484.14</v>
      </c>
      <c r="H14">
        <f>IF(H11,B11&amp;"~"&amp;B13,IF(H12,B12&amp;"~"&amp;B13,IF(H13,B13,"None")))</f>
        <v>202603</v>
      </c>
    </row>
  </sheetData>
  <phoneticPr fontId="4" type="noConversion"/>
  <hyperlinks>
    <hyperlink ref="A1" tooltip="Quantiwise7G" display="     Refresh     " xr:uid="{D6B59B04-157F-4A09-AAB5-286F419C6305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0021-9F06-46E4-BB77-36017C414153}">
  <dimension ref="A1:H14"/>
  <sheetViews>
    <sheetView workbookViewId="0">
      <selection activeCell="G11" sqref="G11"/>
    </sheetView>
  </sheetViews>
  <sheetFormatPr defaultRowHeight="16.5" x14ac:dyDescent="0.3"/>
  <sheetData>
    <row r="1" spans="1:8" x14ac:dyDescent="0.3">
      <c r="A1" s="1" t="s">
        <v>0</v>
      </c>
      <c r="B1" t="s">
        <v>50</v>
      </c>
    </row>
    <row r="3" spans="1:8" x14ac:dyDescent="0.3">
      <c r="A3" s="24" t="s">
        <v>24</v>
      </c>
    </row>
    <row r="4" spans="1:8" x14ac:dyDescent="0.3">
      <c r="A4" s="6" t="s">
        <v>23</v>
      </c>
      <c r="B4" s="6" t="s">
        <v>19</v>
      </c>
      <c r="C4" s="6" t="s">
        <v>4</v>
      </c>
    </row>
    <row r="5" spans="1:8" x14ac:dyDescent="0.3">
      <c r="A5" s="5"/>
      <c r="B5" s="5"/>
      <c r="C5" s="5"/>
    </row>
    <row r="6" spans="1:8" x14ac:dyDescent="0.3">
      <c r="A6" s="5"/>
      <c r="B6" s="5"/>
      <c r="C6" s="5"/>
    </row>
    <row r="7" spans="1:8" x14ac:dyDescent="0.3">
      <c r="A7" s="7"/>
      <c r="B7" s="7"/>
      <c r="C7" s="7"/>
    </row>
    <row r="9" spans="1:8" x14ac:dyDescent="0.3">
      <c r="A9" s="21"/>
      <c r="B9" s="21"/>
      <c r="C9" s="21"/>
      <c r="D9" s="21"/>
      <c r="E9" s="8"/>
      <c r="F9" s="6" t="str">
        <f>code</f>
        <v>A054950</v>
      </c>
    </row>
    <row r="10" spans="1:8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8" x14ac:dyDescent="0.3">
      <c r="A11" s="23" t="s">
        <v>21</v>
      </c>
      <c r="B11" s="23">
        <f t="shared" ref="B11:B12" si="0">IF(RIGHT(B12,2)="03",LEFT(B12,4)-1 &amp; "12",B12-3)</f>
        <v>202509</v>
      </c>
      <c r="C11" s="5" t="s">
        <v>18</v>
      </c>
      <c r="D11" s="5"/>
      <c r="E11" t="s">
        <v>17</v>
      </c>
      <c r="F11" s="28">
        <v>7596.14</v>
      </c>
      <c r="G11" t="str">
        <f>LEFT(B11,4)</f>
        <v>2025</v>
      </c>
      <c r="H11" t="b">
        <f>G11=LEFT(fq_0,4)</f>
        <v>0</v>
      </c>
    </row>
    <row r="12" spans="1:8" x14ac:dyDescent="0.3">
      <c r="A12" s="23" t="s">
        <v>21</v>
      </c>
      <c r="B12" s="23" t="str">
        <f t="shared" si="0"/>
        <v>202512</v>
      </c>
      <c r="C12" s="5" t="s">
        <v>18</v>
      </c>
      <c r="D12" s="5"/>
      <c r="E12" t="s">
        <v>17</v>
      </c>
      <c r="F12" s="28">
        <v>5911.74</v>
      </c>
      <c r="G12" t="str">
        <f t="shared" ref="G12:G13" si="1">LEFT(B12,4)</f>
        <v>2025</v>
      </c>
      <c r="H12" t="b">
        <f>G12=LEFT(fq_0,4)</f>
        <v>0</v>
      </c>
    </row>
    <row r="13" spans="1:8" x14ac:dyDescent="0.3">
      <c r="A13" s="23" t="s">
        <v>21</v>
      </c>
      <c r="B13" s="23">
        <f>fq_m1</f>
        <v>202603</v>
      </c>
      <c r="C13" s="5" t="s">
        <v>18</v>
      </c>
      <c r="D13" s="5"/>
      <c r="E13" t="s">
        <v>17</v>
      </c>
      <c r="F13" s="28">
        <v>9291.85</v>
      </c>
      <c r="G13" t="str">
        <f t="shared" si="1"/>
        <v>2026</v>
      </c>
      <c r="H13" t="b">
        <f>G13=LEFT(fq_0,4)</f>
        <v>1</v>
      </c>
    </row>
    <row r="14" spans="1:8" x14ac:dyDescent="0.3">
      <c r="A14" s="23"/>
      <c r="F14">
        <f>SUMIF(G11:G13,LEFT(fq_0,4),F11:F13)</f>
        <v>9291.85</v>
      </c>
      <c r="H14">
        <f>IF(H11,B11&amp;"~"&amp;B13,IF(H12,B12&amp;"~"&amp;B13,IF(H13,B13,"None")))</f>
        <v>202603</v>
      </c>
    </row>
  </sheetData>
  <phoneticPr fontId="4" type="noConversion"/>
  <hyperlinks>
    <hyperlink ref="A1" tooltip="Quantiwise7G" display="     Refresh     " xr:uid="{0A37F9AB-7CE0-4768-9BB7-7095266007EB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821E-C509-4654-BF5C-55621EF0FDC6}">
  <dimension ref="A1:H14"/>
  <sheetViews>
    <sheetView workbookViewId="0">
      <selection activeCell="E12" sqref="E12"/>
    </sheetView>
  </sheetViews>
  <sheetFormatPr defaultRowHeight="16.5" x14ac:dyDescent="0.3"/>
  <cols>
    <col min="5" max="5" width="16.5" bestFit="1" customWidth="1"/>
  </cols>
  <sheetData>
    <row r="1" spans="1:8" x14ac:dyDescent="0.3">
      <c r="A1" s="1" t="s">
        <v>0</v>
      </c>
      <c r="B1" t="s">
        <v>51</v>
      </c>
    </row>
    <row r="3" spans="1:8" x14ac:dyDescent="0.3">
      <c r="A3" s="24" t="s">
        <v>24</v>
      </c>
    </row>
    <row r="4" spans="1:8" x14ac:dyDescent="0.3">
      <c r="A4" s="6" t="s">
        <v>23</v>
      </c>
      <c r="B4" s="6" t="s">
        <v>19</v>
      </c>
      <c r="C4" s="6" t="s">
        <v>4</v>
      </c>
    </row>
    <row r="5" spans="1:8" x14ac:dyDescent="0.3">
      <c r="A5" s="5"/>
      <c r="B5" s="5"/>
      <c r="C5" s="5"/>
    </row>
    <row r="6" spans="1:8" x14ac:dyDescent="0.3">
      <c r="A6" s="5"/>
      <c r="B6" s="5"/>
      <c r="C6" s="5"/>
    </row>
    <row r="7" spans="1:8" x14ac:dyDescent="0.3">
      <c r="A7" s="7"/>
      <c r="B7" s="7"/>
      <c r="C7" s="7"/>
    </row>
    <row r="9" spans="1:8" x14ac:dyDescent="0.3">
      <c r="A9" s="21"/>
      <c r="B9" s="21"/>
      <c r="C9" s="21"/>
      <c r="D9" s="21"/>
      <c r="E9" s="8"/>
      <c r="F9" s="6" t="str">
        <f>code</f>
        <v>A054950</v>
      </c>
    </row>
    <row r="10" spans="1:8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8" x14ac:dyDescent="0.3">
      <c r="A11" s="23" t="s">
        <v>22</v>
      </c>
      <c r="B11" s="23">
        <f t="shared" ref="B11:B12" si="0">IF(RIGHT(B12,2)="03",LEFT(B12,4)-1 &amp; "12",B12-3)</f>
        <v>202509</v>
      </c>
      <c r="C11" s="5" t="s">
        <v>18</v>
      </c>
      <c r="D11" s="5"/>
      <c r="E11" t="s">
        <v>27</v>
      </c>
      <c r="F11" s="28">
        <v>6399.22</v>
      </c>
      <c r="G11" t="str">
        <f>LEFT(B11,4)</f>
        <v>2025</v>
      </c>
      <c r="H11" t="b">
        <f>G11=LEFT(fq_0,4)</f>
        <v>0</v>
      </c>
    </row>
    <row r="12" spans="1:8" x14ac:dyDescent="0.3">
      <c r="A12" s="23" t="s">
        <v>22</v>
      </c>
      <c r="B12" s="23" t="str">
        <f t="shared" si="0"/>
        <v>202512</v>
      </c>
      <c r="C12" s="5" t="s">
        <v>18</v>
      </c>
      <c r="D12" s="5"/>
      <c r="E12" t="s">
        <v>27</v>
      </c>
      <c r="F12" s="28">
        <v>5274.71</v>
      </c>
      <c r="G12" t="str">
        <f t="shared" ref="G12:G13" si="1">LEFT(B12,4)</f>
        <v>2025</v>
      </c>
      <c r="H12" t="b">
        <f>G12=LEFT(fq_0,4)</f>
        <v>0</v>
      </c>
    </row>
    <row r="13" spans="1:8" x14ac:dyDescent="0.3">
      <c r="A13" s="23" t="s">
        <v>22</v>
      </c>
      <c r="B13" s="23">
        <f>fq_m1</f>
        <v>202603</v>
      </c>
      <c r="C13" s="5" t="s">
        <v>18</v>
      </c>
      <c r="D13" s="5"/>
      <c r="E13" t="s">
        <v>27</v>
      </c>
      <c r="F13" s="28">
        <v>7593.69</v>
      </c>
      <c r="G13" t="str">
        <f t="shared" si="1"/>
        <v>2026</v>
      </c>
      <c r="H13" t="b">
        <f>G13=LEFT(fq_0,4)</f>
        <v>1</v>
      </c>
    </row>
    <row r="14" spans="1:8" x14ac:dyDescent="0.3">
      <c r="A14" s="23"/>
      <c r="F14">
        <f>SUMIF(G11:G13,LEFT(fq_0,4),F11:F13)</f>
        <v>7593.69</v>
      </c>
      <c r="H14">
        <f>IF(H11,B11&amp;"~"&amp;B13,IF(H12,B12&amp;"~"&amp;B13,IF(H13,B13,"None")))</f>
        <v>202603</v>
      </c>
    </row>
  </sheetData>
  <phoneticPr fontId="4" type="noConversion"/>
  <hyperlinks>
    <hyperlink ref="A1" tooltip="Quantiwise7G" display="     Refresh     " xr:uid="{C56C27D3-4BB5-4B3E-AA8B-AF3AEBB81C68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1BA2-FD3C-45AF-A95B-4771C31419A8}">
  <dimension ref="A1:F23"/>
  <sheetViews>
    <sheetView workbookViewId="0">
      <selection activeCell="F23" sqref="F23"/>
    </sheetView>
  </sheetViews>
  <sheetFormatPr defaultRowHeight="16.5" x14ac:dyDescent="0.3"/>
  <cols>
    <col min="1" max="6" width="14.625" customWidth="1"/>
  </cols>
  <sheetData>
    <row r="1" spans="1:6" ht="15" customHeight="1" x14ac:dyDescent="0.3">
      <c r="A1" s="1" t="s">
        <v>0</v>
      </c>
      <c r="B1" t="s">
        <v>52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32</v>
      </c>
      <c r="B11" s="23" t="str">
        <f>LEFT(B12,4)-1&amp; "AS"</f>
        <v>2021AS</v>
      </c>
      <c r="C11" s="5" t="s">
        <v>34</v>
      </c>
      <c r="D11" s="5"/>
      <c r="E11" t="s">
        <v>33</v>
      </c>
      <c r="F11" s="28">
        <v>66.11</v>
      </c>
    </row>
    <row r="12" spans="1:6" x14ac:dyDescent="0.3">
      <c r="A12" s="23" t="s">
        <v>32</v>
      </c>
      <c r="B12" s="23" t="str">
        <f>LEFT(B13,4)-1&amp; "AS"</f>
        <v>2022AS</v>
      </c>
      <c r="C12" s="5" t="s">
        <v>34</v>
      </c>
      <c r="D12" s="5"/>
      <c r="E12" t="s">
        <v>33</v>
      </c>
      <c r="F12" s="28">
        <v>63.97</v>
      </c>
    </row>
    <row r="13" spans="1:6" x14ac:dyDescent="0.3">
      <c r="A13" s="23" t="s">
        <v>32</v>
      </c>
      <c r="B13" s="23" t="str">
        <f>LEFT(B14,4)-1&amp; "AS"</f>
        <v>2023AS</v>
      </c>
      <c r="C13" s="5" t="s">
        <v>34</v>
      </c>
      <c r="D13" s="5"/>
      <c r="E13" t="s">
        <v>33</v>
      </c>
      <c r="F13" s="28">
        <v>60.15</v>
      </c>
    </row>
    <row r="14" spans="1:6" x14ac:dyDescent="0.3">
      <c r="A14" s="23" t="s">
        <v>32</v>
      </c>
      <c r="B14" s="23" t="str">
        <f>LEFT(B15,4)-1&amp; "AS"</f>
        <v>2024AS</v>
      </c>
      <c r="C14" s="5" t="s">
        <v>34</v>
      </c>
      <c r="D14" s="5"/>
      <c r="E14" t="s">
        <v>33</v>
      </c>
      <c r="F14" s="28">
        <v>60.03</v>
      </c>
    </row>
    <row r="15" spans="1:6" x14ac:dyDescent="0.3">
      <c r="A15" s="23" t="s">
        <v>32</v>
      </c>
      <c r="B15" s="23" t="str">
        <f>IF(RIGHT(B23,2)="03",LEFT(B23,4)-1&amp; "AS",LEFT(B23,4)&amp; "AS")</f>
        <v>2025AS</v>
      </c>
      <c r="C15" s="5" t="s">
        <v>34</v>
      </c>
      <c r="D15" s="5"/>
      <c r="E15" t="s">
        <v>33</v>
      </c>
      <c r="F15" s="28">
        <v>59.08</v>
      </c>
    </row>
    <row r="16" spans="1:6" x14ac:dyDescent="0.3">
      <c r="A16" s="23" t="s">
        <v>32</v>
      </c>
      <c r="B16" s="23">
        <f t="shared" ref="B16:B22" si="0">IF(RIGHT(B17,2)="03",LEFT(B17,4)-1 &amp; "12",B17-3)</f>
        <v>202406</v>
      </c>
      <c r="C16" s="5" t="s">
        <v>34</v>
      </c>
      <c r="D16" s="5"/>
      <c r="E16" t="s">
        <v>33</v>
      </c>
      <c r="F16" s="28">
        <v>60.18</v>
      </c>
    </row>
    <row r="17" spans="1:6" x14ac:dyDescent="0.3">
      <c r="A17" s="23" t="s">
        <v>32</v>
      </c>
      <c r="B17" s="23">
        <f t="shared" si="0"/>
        <v>202409</v>
      </c>
      <c r="C17" s="5" t="s">
        <v>34</v>
      </c>
      <c r="D17" s="5"/>
      <c r="E17" t="s">
        <v>33</v>
      </c>
      <c r="F17" s="28">
        <v>60.64</v>
      </c>
    </row>
    <row r="18" spans="1:6" x14ac:dyDescent="0.3">
      <c r="A18" s="23" t="s">
        <v>32</v>
      </c>
      <c r="B18" s="23" t="str">
        <f t="shared" si="0"/>
        <v>202412</v>
      </c>
      <c r="C18" s="5" t="s">
        <v>34</v>
      </c>
      <c r="D18" s="5"/>
      <c r="E18" t="s">
        <v>33</v>
      </c>
      <c r="F18" s="28">
        <v>57.85</v>
      </c>
    </row>
    <row r="19" spans="1:6" x14ac:dyDescent="0.3">
      <c r="A19" s="23" t="s">
        <v>32</v>
      </c>
      <c r="B19" s="23">
        <f t="shared" si="0"/>
        <v>202503</v>
      </c>
      <c r="C19" s="5" t="s">
        <v>34</v>
      </c>
      <c r="D19" s="5"/>
      <c r="E19" t="s">
        <v>33</v>
      </c>
      <c r="F19" s="28">
        <v>59.22</v>
      </c>
    </row>
    <row r="20" spans="1:6" x14ac:dyDescent="0.3">
      <c r="A20" s="23" t="s">
        <v>32</v>
      </c>
      <c r="B20" s="23">
        <f t="shared" si="0"/>
        <v>202506</v>
      </c>
      <c r="C20" s="5" t="s">
        <v>34</v>
      </c>
      <c r="D20" s="5"/>
      <c r="E20" t="s">
        <v>33</v>
      </c>
      <c r="F20" s="28">
        <v>59.05</v>
      </c>
    </row>
    <row r="21" spans="1:6" x14ac:dyDescent="0.3">
      <c r="A21" s="23" t="s">
        <v>32</v>
      </c>
      <c r="B21" s="23">
        <f t="shared" si="0"/>
        <v>202509</v>
      </c>
      <c r="C21" s="5" t="s">
        <v>34</v>
      </c>
      <c r="D21" s="5"/>
      <c r="E21" t="s">
        <v>33</v>
      </c>
      <c r="F21" s="28">
        <v>58.68</v>
      </c>
    </row>
    <row r="22" spans="1:6" x14ac:dyDescent="0.3">
      <c r="A22" s="23" t="s">
        <v>32</v>
      </c>
      <c r="B22" s="23" t="str">
        <f t="shared" si="0"/>
        <v>202512</v>
      </c>
      <c r="C22" s="5" t="s">
        <v>34</v>
      </c>
      <c r="D22" s="5"/>
      <c r="E22" t="s">
        <v>33</v>
      </c>
      <c r="F22" s="28">
        <v>59.36</v>
      </c>
    </row>
    <row r="23" spans="1:6" x14ac:dyDescent="0.3">
      <c r="A23" s="23" t="s">
        <v>32</v>
      </c>
      <c r="B23" s="23">
        <f>fq_m1</f>
        <v>202603</v>
      </c>
      <c r="C23" s="5" t="s">
        <v>34</v>
      </c>
      <c r="D23" s="5"/>
      <c r="E23" t="s">
        <v>33</v>
      </c>
      <c r="F23" s="28">
        <v>58</v>
      </c>
    </row>
  </sheetData>
  <phoneticPr fontId="4" type="noConversion"/>
  <hyperlinks>
    <hyperlink ref="A1" tooltip="Quantiwise7G" display="     Refresh     " xr:uid="{D7A71E0B-E38E-4759-9C5D-EB677092AD7A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706D-8F1A-4A13-A0BB-FE3D44493D49}">
  <dimension ref="A1:F23"/>
  <sheetViews>
    <sheetView workbookViewId="0">
      <selection activeCell="F23" sqref="F23"/>
    </sheetView>
  </sheetViews>
  <sheetFormatPr defaultRowHeight="16.5" x14ac:dyDescent="0.3"/>
  <sheetData>
    <row r="1" spans="1:6" x14ac:dyDescent="0.3">
      <c r="A1" s="1" t="s">
        <v>0</v>
      </c>
      <c r="B1" t="s">
        <v>53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35</v>
      </c>
      <c r="B11" s="23" t="str">
        <f>LEFT(B12,4)-1&amp; "AS"</f>
        <v>2021AS</v>
      </c>
      <c r="C11" s="5" t="s">
        <v>34</v>
      </c>
      <c r="D11" s="5"/>
      <c r="E11" t="s">
        <v>36</v>
      </c>
      <c r="F11" s="28">
        <v>23.1</v>
      </c>
    </row>
    <row r="12" spans="1:6" x14ac:dyDescent="0.3">
      <c r="A12" s="23" t="s">
        <v>35</v>
      </c>
      <c r="B12" s="23" t="str">
        <f>LEFT(B13,4)-1&amp; "AS"</f>
        <v>2022AS</v>
      </c>
      <c r="C12" s="5" t="s">
        <v>34</v>
      </c>
      <c r="D12" s="5"/>
      <c r="E12" t="s">
        <v>36</v>
      </c>
      <c r="F12" s="28">
        <v>20.54</v>
      </c>
    </row>
    <row r="13" spans="1:6" x14ac:dyDescent="0.3">
      <c r="A13" s="23" t="s">
        <v>35</v>
      </c>
      <c r="B13" s="23" t="str">
        <f>LEFT(B14,4)-1&amp; "AS"</f>
        <v>2023AS</v>
      </c>
      <c r="C13" s="5" t="s">
        <v>34</v>
      </c>
      <c r="D13" s="5"/>
      <c r="E13" t="s">
        <v>36</v>
      </c>
      <c r="F13" s="28">
        <v>20.9</v>
      </c>
    </row>
    <row r="14" spans="1:6" x14ac:dyDescent="0.3">
      <c r="A14" s="23" t="s">
        <v>35</v>
      </c>
      <c r="B14" s="23" t="str">
        <f>LEFT(B15,4)-1&amp; "AS"</f>
        <v>2024AS</v>
      </c>
      <c r="C14" s="5" t="s">
        <v>34</v>
      </c>
      <c r="D14" s="5"/>
      <c r="E14" t="s">
        <v>36</v>
      </c>
      <c r="F14" s="28">
        <v>20.73</v>
      </c>
    </row>
    <row r="15" spans="1:6" x14ac:dyDescent="0.3">
      <c r="A15" s="23" t="s">
        <v>35</v>
      </c>
      <c r="B15" s="23" t="str">
        <f>IF(RIGHT(B23,2)="03",LEFT(B23,4)-1&amp; "AS",LEFT(B23,4)&amp; "AS")</f>
        <v>2025AS</v>
      </c>
      <c r="C15" s="5" t="s">
        <v>34</v>
      </c>
      <c r="D15" s="5"/>
      <c r="E15" t="s">
        <v>36</v>
      </c>
      <c r="F15" s="28">
        <v>21.7</v>
      </c>
    </row>
    <row r="16" spans="1:6" x14ac:dyDescent="0.3">
      <c r="A16" s="23" t="s">
        <v>35</v>
      </c>
      <c r="B16" s="23">
        <f t="shared" ref="B16:B22" si="0">IF(RIGHT(B17,2)="03",LEFT(B17,4)-1 &amp; "12",B17-3)</f>
        <v>202406</v>
      </c>
      <c r="C16" s="5" t="s">
        <v>34</v>
      </c>
      <c r="D16" s="5"/>
      <c r="E16" t="s">
        <v>36</v>
      </c>
      <c r="F16" s="28">
        <v>21.62</v>
      </c>
    </row>
    <row r="17" spans="1:6" x14ac:dyDescent="0.3">
      <c r="A17" s="23" t="s">
        <v>35</v>
      </c>
      <c r="B17" s="23">
        <f t="shared" si="0"/>
        <v>202409</v>
      </c>
      <c r="C17" s="5" t="s">
        <v>34</v>
      </c>
      <c r="D17" s="5"/>
      <c r="E17" t="s">
        <v>36</v>
      </c>
      <c r="F17" s="28">
        <v>19.66</v>
      </c>
    </row>
    <row r="18" spans="1:6" x14ac:dyDescent="0.3">
      <c r="A18" s="23" t="s">
        <v>35</v>
      </c>
      <c r="B18" s="23" t="str">
        <f t="shared" si="0"/>
        <v>202412</v>
      </c>
      <c r="C18" s="5" t="s">
        <v>34</v>
      </c>
      <c r="D18" s="5"/>
      <c r="E18" t="s">
        <v>36</v>
      </c>
      <c r="F18" s="28">
        <v>21.48</v>
      </c>
    </row>
    <row r="19" spans="1:6" x14ac:dyDescent="0.3">
      <c r="A19" s="23" t="s">
        <v>35</v>
      </c>
      <c r="B19" s="23">
        <f t="shared" si="0"/>
        <v>202503</v>
      </c>
      <c r="C19" s="5" t="s">
        <v>34</v>
      </c>
      <c r="D19" s="5"/>
      <c r="E19" t="s">
        <v>36</v>
      </c>
      <c r="F19" s="28">
        <v>20.079999999999998</v>
      </c>
    </row>
    <row r="20" spans="1:6" x14ac:dyDescent="0.3">
      <c r="A20" s="23" t="s">
        <v>35</v>
      </c>
      <c r="B20" s="23">
        <f t="shared" si="0"/>
        <v>202506</v>
      </c>
      <c r="C20" s="5" t="s">
        <v>34</v>
      </c>
      <c r="D20" s="5"/>
      <c r="E20" t="s">
        <v>36</v>
      </c>
      <c r="F20" s="28">
        <v>18.010000000000002</v>
      </c>
    </row>
    <row r="21" spans="1:6" x14ac:dyDescent="0.3">
      <c r="A21" s="23" t="s">
        <v>35</v>
      </c>
      <c r="B21" s="23">
        <f t="shared" si="0"/>
        <v>202509</v>
      </c>
      <c r="C21" s="5" t="s">
        <v>34</v>
      </c>
      <c r="D21" s="5"/>
      <c r="E21" t="s">
        <v>36</v>
      </c>
      <c r="F21" s="28">
        <v>22.19</v>
      </c>
    </row>
    <row r="22" spans="1:6" x14ac:dyDescent="0.3">
      <c r="A22" s="23" t="s">
        <v>35</v>
      </c>
      <c r="B22" s="23" t="str">
        <f t="shared" si="0"/>
        <v>202512</v>
      </c>
      <c r="C22" s="5" t="s">
        <v>34</v>
      </c>
      <c r="D22" s="5"/>
      <c r="E22" t="s">
        <v>36</v>
      </c>
      <c r="F22" s="28">
        <v>26.91</v>
      </c>
    </row>
    <row r="23" spans="1:6" x14ac:dyDescent="0.3">
      <c r="A23" s="23" t="s">
        <v>35</v>
      </c>
      <c r="B23" s="23">
        <f>fq_m1</f>
        <v>202603</v>
      </c>
      <c r="C23" s="5" t="s">
        <v>34</v>
      </c>
      <c r="D23" s="5"/>
      <c r="E23" t="s">
        <v>36</v>
      </c>
      <c r="F23" s="28">
        <v>21.57</v>
      </c>
    </row>
  </sheetData>
  <phoneticPr fontId="4" type="noConversion"/>
  <hyperlinks>
    <hyperlink ref="A1" tooltip="Quantiwise7G" display="     Refresh     " xr:uid="{FF6F8AEE-5977-4B68-BCEC-E2459E8BA03A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AC97-6E03-474B-949E-607C2D1B6A62}">
  <dimension ref="A1:F23"/>
  <sheetViews>
    <sheetView workbookViewId="0">
      <selection activeCell="G14" sqref="G14"/>
    </sheetView>
  </sheetViews>
  <sheetFormatPr defaultRowHeight="16.5" x14ac:dyDescent="0.3"/>
  <sheetData>
    <row r="1" spans="1:6" x14ac:dyDescent="0.3">
      <c r="A1" s="1" t="s">
        <v>0</v>
      </c>
      <c r="B1" t="s">
        <v>54</v>
      </c>
    </row>
    <row r="3" spans="1:6" x14ac:dyDescent="0.3">
      <c r="A3" s="24" t="s">
        <v>24</v>
      </c>
    </row>
    <row r="4" spans="1:6" x14ac:dyDescent="0.3">
      <c r="A4" s="6" t="s">
        <v>23</v>
      </c>
      <c r="B4" s="6" t="s">
        <v>19</v>
      </c>
      <c r="C4" s="6" t="s">
        <v>4</v>
      </c>
    </row>
    <row r="5" spans="1:6" x14ac:dyDescent="0.3">
      <c r="A5" s="5"/>
      <c r="B5" s="5"/>
      <c r="C5" s="5"/>
    </row>
    <row r="6" spans="1:6" x14ac:dyDescent="0.3">
      <c r="A6" s="5"/>
      <c r="B6" s="5"/>
      <c r="C6" s="5"/>
    </row>
    <row r="7" spans="1:6" x14ac:dyDescent="0.3">
      <c r="A7" s="7"/>
      <c r="B7" s="7"/>
      <c r="C7" s="7"/>
    </row>
    <row r="9" spans="1:6" x14ac:dyDescent="0.3">
      <c r="A9" s="21"/>
      <c r="B9" s="21"/>
      <c r="C9" s="21"/>
      <c r="D9" s="21"/>
      <c r="E9" s="8"/>
      <c r="F9" s="6" t="str">
        <f>code</f>
        <v>A054950</v>
      </c>
    </row>
    <row r="10" spans="1:6" x14ac:dyDescent="0.3">
      <c r="A10" s="18" t="s">
        <v>25</v>
      </c>
      <c r="B10" s="18" t="s">
        <v>26</v>
      </c>
      <c r="C10" s="18" t="s">
        <v>14</v>
      </c>
      <c r="D10" s="18" t="s">
        <v>15</v>
      </c>
      <c r="E10" s="18" t="s">
        <v>12</v>
      </c>
      <c r="F10" s="7" t="s">
        <v>44</v>
      </c>
    </row>
    <row r="11" spans="1:6" x14ac:dyDescent="0.3">
      <c r="A11" s="23" t="s">
        <v>37</v>
      </c>
      <c r="B11" s="23" t="str">
        <f>LEFT(B12,4)-1&amp; "AS"</f>
        <v>2021AS</v>
      </c>
      <c r="C11" s="5" t="s">
        <v>34</v>
      </c>
      <c r="D11" s="5"/>
      <c r="E11" t="s">
        <v>38</v>
      </c>
      <c r="F11" s="28" t="s">
        <v>55</v>
      </c>
    </row>
    <row r="12" spans="1:6" x14ac:dyDescent="0.3">
      <c r="A12" s="23" t="s">
        <v>37</v>
      </c>
      <c r="B12" s="23" t="str">
        <f>LEFT(B13,4)-1&amp; "AS"</f>
        <v>2022AS</v>
      </c>
      <c r="C12" s="5" t="s">
        <v>34</v>
      </c>
      <c r="D12" s="5"/>
      <c r="E12" t="s">
        <v>38</v>
      </c>
      <c r="F12" s="28" t="s">
        <v>56</v>
      </c>
    </row>
    <row r="13" spans="1:6" x14ac:dyDescent="0.3">
      <c r="A13" s="23" t="s">
        <v>37</v>
      </c>
      <c r="B13" s="23" t="str">
        <f>LEFT(B14,4)-1&amp; "AS"</f>
        <v>2023AS</v>
      </c>
      <c r="C13" s="5" t="s">
        <v>34</v>
      </c>
      <c r="D13" s="5"/>
      <c r="E13" t="s">
        <v>38</v>
      </c>
      <c r="F13" s="28" t="s">
        <v>57</v>
      </c>
    </row>
    <row r="14" spans="1:6" x14ac:dyDescent="0.3">
      <c r="A14" s="23" t="s">
        <v>37</v>
      </c>
      <c r="B14" s="23" t="str">
        <f>LEFT(B15,4)-1&amp; "AS"</f>
        <v>2024AS</v>
      </c>
      <c r="C14" s="5" t="s">
        <v>34</v>
      </c>
      <c r="D14" s="5"/>
      <c r="E14" t="s">
        <v>38</v>
      </c>
      <c r="F14" s="28" t="s">
        <v>58</v>
      </c>
    </row>
    <row r="15" spans="1:6" x14ac:dyDescent="0.3">
      <c r="A15" s="23" t="s">
        <v>37</v>
      </c>
      <c r="B15" s="23" t="str">
        <f>IF(RIGHT(B23,2)="03",LEFT(B23,4)-1&amp; "AS",LEFT(B23,4)&amp; "AS")</f>
        <v>2025AS</v>
      </c>
      <c r="C15" s="5" t="s">
        <v>34</v>
      </c>
      <c r="D15" s="5"/>
      <c r="E15" t="s">
        <v>38</v>
      </c>
      <c r="F15" s="28" t="s">
        <v>41</v>
      </c>
    </row>
    <row r="16" spans="1:6" x14ac:dyDescent="0.3">
      <c r="A16" s="23" t="s">
        <v>37</v>
      </c>
      <c r="B16" s="23">
        <f t="shared" ref="B16:B22" si="0">IF(RIGHT(B17,2)="03",LEFT(B17,4)-1 &amp; "12",B17-3)</f>
        <v>202406</v>
      </c>
      <c r="C16" s="5" t="s">
        <v>34</v>
      </c>
      <c r="D16" s="5"/>
      <c r="E16" t="s">
        <v>38</v>
      </c>
      <c r="F16" s="28" t="s">
        <v>59</v>
      </c>
    </row>
    <row r="17" spans="1:6" x14ac:dyDescent="0.3">
      <c r="A17" s="23" t="s">
        <v>37</v>
      </c>
      <c r="B17" s="23">
        <f t="shared" si="0"/>
        <v>202409</v>
      </c>
      <c r="C17" s="5" t="s">
        <v>34</v>
      </c>
      <c r="D17" s="5"/>
      <c r="E17" t="s">
        <v>38</v>
      </c>
      <c r="F17" s="28" t="s">
        <v>60</v>
      </c>
    </row>
    <row r="18" spans="1:6" x14ac:dyDescent="0.3">
      <c r="A18" s="23" t="s">
        <v>37</v>
      </c>
      <c r="B18" s="23" t="str">
        <f t="shared" si="0"/>
        <v>202412</v>
      </c>
      <c r="C18" s="5" t="s">
        <v>34</v>
      </c>
      <c r="D18" s="5"/>
      <c r="E18" t="s">
        <v>38</v>
      </c>
      <c r="F18" s="28" t="s">
        <v>58</v>
      </c>
    </row>
    <row r="19" spans="1:6" x14ac:dyDescent="0.3">
      <c r="A19" s="23" t="s">
        <v>37</v>
      </c>
      <c r="B19" s="23">
        <f t="shared" si="0"/>
        <v>202503</v>
      </c>
      <c r="C19" s="5" t="s">
        <v>34</v>
      </c>
      <c r="D19" s="5"/>
      <c r="E19" t="s">
        <v>38</v>
      </c>
      <c r="F19" s="28" t="s">
        <v>61</v>
      </c>
    </row>
    <row r="20" spans="1:6" x14ac:dyDescent="0.3">
      <c r="A20" s="23" t="s">
        <v>37</v>
      </c>
      <c r="B20" s="23">
        <f t="shared" si="0"/>
        <v>202506</v>
      </c>
      <c r="C20" s="5" t="s">
        <v>34</v>
      </c>
      <c r="D20" s="5"/>
      <c r="E20" t="s">
        <v>38</v>
      </c>
      <c r="F20" s="28" t="s">
        <v>62</v>
      </c>
    </row>
    <row r="21" spans="1:6" x14ac:dyDescent="0.3">
      <c r="A21" s="23" t="s">
        <v>37</v>
      </c>
      <c r="B21" s="23">
        <f t="shared" si="0"/>
        <v>202509</v>
      </c>
      <c r="C21" s="5" t="s">
        <v>34</v>
      </c>
      <c r="D21" s="5"/>
      <c r="E21" t="s">
        <v>38</v>
      </c>
      <c r="F21" s="28" t="s">
        <v>63</v>
      </c>
    </row>
    <row r="22" spans="1:6" x14ac:dyDescent="0.3">
      <c r="A22" s="23" t="s">
        <v>37</v>
      </c>
      <c r="B22" s="23" t="str">
        <f t="shared" si="0"/>
        <v>202512</v>
      </c>
      <c r="C22" s="5" t="s">
        <v>34</v>
      </c>
      <c r="D22" s="5"/>
      <c r="E22" t="s">
        <v>38</v>
      </c>
      <c r="F22" s="28" t="s">
        <v>41</v>
      </c>
    </row>
    <row r="23" spans="1:6" x14ac:dyDescent="0.3">
      <c r="A23" s="23" t="s">
        <v>37</v>
      </c>
      <c r="B23" s="23">
        <f>fq_m1</f>
        <v>202603</v>
      </c>
      <c r="C23" s="5" t="s">
        <v>34</v>
      </c>
      <c r="D23" s="5"/>
      <c r="E23" t="s">
        <v>38</v>
      </c>
      <c r="F23" s="28" t="s">
        <v>64</v>
      </c>
    </row>
  </sheetData>
  <phoneticPr fontId="4" type="noConversion"/>
  <hyperlinks>
    <hyperlink ref="A1" tooltip="Quantiwise7G" display="     Refresh     " xr:uid="{C66ACB7A-B2CD-47FA-9A68-955E6E1C5CC6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company</vt:lpstr>
      <vt:lpstr>consensus</vt:lpstr>
      <vt:lpstr>future</vt:lpstr>
      <vt:lpstr>sales</vt:lpstr>
      <vt:lpstr>op</vt:lpstr>
      <vt:lpstr>income</vt:lpstr>
      <vt:lpstr>earnings_cum</vt:lpstr>
      <vt:lpstr>sales_cum</vt:lpstr>
      <vt:lpstr>op_cum</vt:lpstr>
      <vt:lpstr>income_cum</vt:lpstr>
      <vt:lpstr>costsales</vt:lpstr>
      <vt:lpstr>costincome</vt:lpstr>
      <vt:lpstr>netdebt</vt:lpstr>
      <vt:lpstr>code</vt:lpstr>
      <vt:lpstr>fq_0</vt:lpstr>
      <vt:lpstr>fq_1</vt:lpstr>
      <vt:lpstr>fq_m1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NHWM</dc:creator>
  <cp:lastModifiedBy>규진 김</cp:lastModifiedBy>
  <dcterms:created xsi:type="dcterms:W3CDTF">2015-06-05T18:19:34Z</dcterms:created>
  <dcterms:modified xsi:type="dcterms:W3CDTF">2026-07-31T07:35:37Z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a8g24I1STEvNgCSQdFNQCg==</vt:lpwstr>
  </property>
  <property fmtid="{D5CDD505-2E9C-101B-9397-08002B2CF9AE}" pid="3" name="AST date">
    <vt:lpwstr>20260731163527</vt:lpwstr>
  </property>
</Properties>
</file>